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Zach\Documents\OLE MISS\Senior Year Semester I\BAIS 408\Project\Final Submission\"/>
    </mc:Choice>
  </mc:AlternateContent>
  <xr:revisionPtr revIDLastSave="0" documentId="13_ncr:1_{9475C6F6-BFB5-4989-A479-C0A0608142F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64894756" val="1228" rev="124" rev64="64" revOS="3" revMin="124" revMax="0"/>
      <pm:docPrefs xmlns:pm="smNativeData" id="1764894756" fixedDigits="0" showNotice="1" showFrameBounds="1" autoChart="1" recalcOnPrint="1" recalcOnCopy="1" finalRounding="1" compatTextArt="1" tab="567" useDefinedPrintRange="1" printArea="currentSheet"/>
      <pm:compatibility xmlns:pm="smNativeData" id="1764894756" overlapCells="1"/>
      <pm:defCurrency xmlns:pm="smNativeData" id="1764894756"/>
    </ext>
  </extLst>
</workbook>
</file>

<file path=xl/calcChain.xml><?xml version="1.0" encoding="utf-8"?>
<calcChain xmlns="http://schemas.openxmlformats.org/spreadsheetml/2006/main">
  <c r="K419" i="1" l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6" i="1"/>
  <c r="K355" i="1"/>
  <c r="K354" i="1"/>
  <c r="K353" i="1"/>
  <c r="K352" i="1"/>
  <c r="K351" i="1"/>
  <c r="K350" i="1"/>
  <c r="K349" i="1"/>
  <c r="K348" i="1"/>
  <c r="K347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H245" i="1"/>
  <c r="K245" i="1" s="1"/>
  <c r="H244" i="1"/>
  <c r="K244" i="1" s="1"/>
  <c r="H243" i="1"/>
  <c r="K243" i="1" s="1"/>
  <c r="H242" i="1"/>
  <c r="K242" i="1" s="1"/>
  <c r="H241" i="1"/>
  <c r="K241" i="1" s="1"/>
  <c r="H240" i="1"/>
  <c r="K240" i="1" s="1"/>
  <c r="H239" i="1"/>
  <c r="K239" i="1" s="1"/>
  <c r="H238" i="1"/>
  <c r="K238" i="1" s="1"/>
  <c r="H237" i="1"/>
  <c r="K237" i="1" s="1"/>
  <c r="H236" i="1"/>
  <c r="K236" i="1" s="1"/>
  <c r="H235" i="1"/>
  <c r="K235" i="1" s="1"/>
  <c r="H234" i="1"/>
  <c r="K234" i="1" s="1"/>
  <c r="H233" i="1"/>
  <c r="K233" i="1" s="1"/>
  <c r="H232" i="1"/>
  <c r="K232" i="1" s="1"/>
  <c r="H231" i="1"/>
  <c r="K231" i="1" s="1"/>
  <c r="H230" i="1"/>
  <c r="K230" i="1" s="1"/>
  <c r="H229" i="1"/>
  <c r="K229" i="1" s="1"/>
  <c r="H228" i="1"/>
  <c r="K228" i="1" s="1"/>
  <c r="H227" i="1"/>
  <c r="K227" i="1" s="1"/>
  <c r="H226" i="1"/>
  <c r="K226" i="1" s="1"/>
  <c r="H225" i="1"/>
  <c r="K225" i="1" s="1"/>
  <c r="H224" i="1"/>
  <c r="K224" i="1" s="1"/>
  <c r="H223" i="1"/>
  <c r="K223" i="1" s="1"/>
  <c r="H222" i="1"/>
  <c r="K222" i="1" s="1"/>
  <c r="H221" i="1"/>
  <c r="K221" i="1" s="1"/>
  <c r="H220" i="1"/>
  <c r="K220" i="1" s="1"/>
  <c r="H219" i="1"/>
  <c r="K219" i="1" s="1"/>
  <c r="H218" i="1"/>
  <c r="K218" i="1" s="1"/>
  <c r="H217" i="1"/>
  <c r="K217" i="1" s="1"/>
  <c r="H216" i="1"/>
  <c r="K216" i="1" s="1"/>
  <c r="H215" i="1"/>
  <c r="K215" i="1" s="1"/>
  <c r="H214" i="1"/>
  <c r="K214" i="1" s="1"/>
  <c r="H213" i="1"/>
  <c r="K213" i="1" s="1"/>
  <c r="H212" i="1"/>
  <c r="K212" i="1" s="1"/>
  <c r="H211" i="1"/>
  <c r="K211" i="1" s="1"/>
  <c r="H210" i="1"/>
  <c r="K210" i="1" s="1"/>
  <c r="H209" i="1"/>
  <c r="K209" i="1" s="1"/>
  <c r="H208" i="1"/>
  <c r="K208" i="1" s="1"/>
  <c r="H207" i="1"/>
  <c r="K207" i="1" s="1"/>
  <c r="H206" i="1"/>
  <c r="K206" i="1" s="1"/>
  <c r="H205" i="1"/>
  <c r="K205" i="1" s="1"/>
  <c r="H204" i="1"/>
  <c r="K204" i="1" s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4" i="1"/>
  <c r="K63" i="1"/>
  <c r="K62" i="1"/>
  <c r="K61" i="1"/>
  <c r="K60" i="1"/>
  <c r="K59" i="1"/>
  <c r="K58" i="1"/>
  <c r="K57" i="1"/>
  <c r="K56" i="1"/>
  <c r="K55" i="1"/>
  <c r="K50" i="1"/>
  <c r="K49" i="1"/>
  <c r="K48" i="1"/>
  <c r="K47" i="1"/>
  <c r="K46" i="1"/>
  <c r="K45" i="1"/>
  <c r="K44" i="1"/>
  <c r="K43" i="1"/>
  <c r="K42" i="1"/>
  <c r="K41" i="1"/>
  <c r="K37" i="1"/>
  <c r="K36" i="1"/>
  <c r="K35" i="1"/>
  <c r="K34" i="1"/>
  <c r="K33" i="1"/>
  <c r="K32" i="1"/>
  <c r="K31" i="1"/>
  <c r="K30" i="1"/>
  <c r="K29" i="1"/>
  <c r="K28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<sst xmlns="http://schemas.openxmlformats.org/spreadsheetml/2006/main" count="1356" uniqueCount="585">
  <si>
    <t>Product</t>
  </si>
  <si>
    <t>product_id</t>
  </si>
  <si>
    <t>sku</t>
  </si>
  <si>
    <t>brand_id</t>
  </si>
  <si>
    <t>category_id</t>
  </si>
  <si>
    <t>model_name</t>
  </si>
  <si>
    <t>unit_price</t>
  </si>
  <si>
    <t>manufacture_location</t>
  </si>
  <si>
    <t>SQL Statements</t>
  </si>
  <si>
    <t>insert into Product values(</t>
  </si>
  <si>
    <t>SKU-1001</t>
  </si>
  <si>
    <t>Dell XPS 15</t>
  </si>
  <si>
    <t>USA</t>
  </si>
  <si>
    <t>SKU-1002</t>
  </si>
  <si>
    <t>MacBook Air M2</t>
  </si>
  <si>
    <t>SKU-1003</t>
  </si>
  <si>
    <t>ThinkPad X1 Carbon</t>
  </si>
  <si>
    <t>China</t>
  </si>
  <si>
    <t>SKU-1004</t>
  </si>
  <si>
    <t>HP Omen 45L</t>
  </si>
  <si>
    <t>SKU-1005</t>
  </si>
  <si>
    <t>ASUS ProArt PA278QV</t>
  </si>
  <si>
    <t>SKU-1006</t>
  </si>
  <si>
    <t>Samsung Odyssey G7</t>
  </si>
  <si>
    <t>Vietnam</t>
  </si>
  <si>
    <t>SKU-1007</t>
  </si>
  <si>
    <t>Logitech MX Keys</t>
  </si>
  <si>
    <t>Switzerland</t>
  </si>
  <si>
    <t>SKU-1008</t>
  </si>
  <si>
    <t>Logitech MX Master 3S</t>
  </si>
  <si>
    <t>SKU-1009</t>
  </si>
  <si>
    <t>Seagate Backup Plus 4TB</t>
  </si>
  <si>
    <t>Thailand</t>
  </si>
  <si>
    <t>SKU-1010</t>
  </si>
  <si>
    <t>Seagate FireCuda 530 2TB</t>
  </si>
  <si>
    <t>SKU-1011</t>
  </si>
  <si>
    <t>Razer GeForce RTX 4090</t>
  </si>
  <si>
    <t>SKU-1012</t>
  </si>
  <si>
    <t>LG UltraGear 27GN950</t>
  </si>
  <si>
    <t>South Korea</t>
  </si>
  <si>
    <t>SKU-1013</t>
  </si>
  <si>
    <t>Dell Inspiron 14</t>
  </si>
  <si>
    <t>Mexico</t>
  </si>
  <si>
    <t>SKU-1014</t>
  </si>
  <si>
    <t>MacBook Pro 14 M3</t>
  </si>
  <si>
    <t>SKU-1015</t>
  </si>
  <si>
    <t>Lenovo Legion RTX 4080 GPU</t>
  </si>
  <si>
    <t>SKU-1016</t>
  </si>
  <si>
    <t>HP Pavilion Gaming Desktop</t>
  </si>
  <si>
    <t>SKU-1017</t>
  </si>
  <si>
    <t>ASUS TUF VG27AQ Monitor</t>
  </si>
  <si>
    <t>SKU-1018</t>
  </si>
  <si>
    <t>Samsung Odyssey Neo G9</t>
  </si>
  <si>
    <t>SKU-1019</t>
  </si>
  <si>
    <t>Logitech G Pro X Keyboard</t>
  </si>
  <si>
    <t>SKU-1020</t>
  </si>
  <si>
    <t>Seagate IronWolf 8TB</t>
  </si>
  <si>
    <t>SKU-1021</t>
  </si>
  <si>
    <t>LG UltraWide 34WN80C-B</t>
  </si>
  <si>
    <t>SKU-1022</t>
  </si>
  <si>
    <t>Razer Radeon RX 7900 XT</t>
  </si>
  <si>
    <t>Brand</t>
  </si>
  <si>
    <t>supplier_id</t>
  </si>
  <si>
    <t>brand_name</t>
  </si>
  <si>
    <t>website_url</t>
  </si>
  <si>
    <t>support_phone</t>
  </si>
  <si>
    <t>hq_country</t>
  </si>
  <si>
    <t>insert into Brand values(</t>
  </si>
  <si>
    <t>Dell</t>
  </si>
  <si>
    <t>https://www.dell.com/</t>
  </si>
  <si>
    <t>800-624-9896</t>
  </si>
  <si>
    <t>Apple</t>
  </si>
  <si>
    <t>https://www.apple.com/</t>
  </si>
  <si>
    <t>800-692-7753</t>
  </si>
  <si>
    <t>Lenovo</t>
  </si>
  <si>
    <t>https://www.lenovo.com/</t>
  </si>
  <si>
    <t>877-453-6686</t>
  </si>
  <si>
    <t>HP</t>
  </si>
  <si>
    <t>https://www.hp.com/</t>
  </si>
  <si>
    <t>800-474-6836</t>
  </si>
  <si>
    <t>ASUS</t>
  </si>
  <si>
    <t>https://www.asus.com/</t>
  </si>
  <si>
    <t>888-678-3688</t>
  </si>
  <si>
    <t>Taiwan</t>
  </si>
  <si>
    <t>Logitech</t>
  </si>
  <si>
    <t>https://www.logitech.com/</t>
  </si>
  <si>
    <t>646-454-3200</t>
  </si>
  <si>
    <t>Samsung</t>
  </si>
  <si>
    <t>https://www.samsung.com/</t>
  </si>
  <si>
    <t>800-726-7864</t>
  </si>
  <si>
    <t>Seagate</t>
  </si>
  <si>
    <t>https://www.seagate.com/</t>
  </si>
  <si>
    <t>800-732-4283</t>
  </si>
  <si>
    <t>Razer</t>
  </si>
  <si>
    <t>https://www.razer.com/</t>
  </si>
  <si>
    <t>855-872-5233</t>
  </si>
  <si>
    <t>LG</t>
  </si>
  <si>
    <t>https://www.lg.com/</t>
  </si>
  <si>
    <t>800-243-0000</t>
  </si>
  <si>
    <t>Category</t>
  </si>
  <si>
    <t>category_name</t>
  </si>
  <si>
    <t>description</t>
  </si>
  <si>
    <t>is_active</t>
  </si>
  <si>
    <t>insert into Category values(</t>
  </si>
  <si>
    <t>Laptops</t>
  </si>
  <si>
    <t>Notebook and ultrabook computers</t>
  </si>
  <si>
    <t>T</t>
  </si>
  <si>
    <t>Desktops</t>
  </si>
  <si>
    <t>Tower and small form factor PCs</t>
  </si>
  <si>
    <t>Monitors</t>
  </si>
  <si>
    <t>Standalone displays</t>
  </si>
  <si>
    <t>Keyboards &amp; Mice</t>
  </si>
  <si>
    <t>Input peripherals</t>
  </si>
  <si>
    <t>Storage</t>
  </si>
  <si>
    <t>Internal and external drives</t>
  </si>
  <si>
    <t>Graphics Cards</t>
  </si>
  <si>
    <t>Dedicated GPUs</t>
  </si>
  <si>
    <t>Tablets</t>
  </si>
  <si>
    <t>Tablet devices</t>
  </si>
  <si>
    <t>Headsets</t>
  </si>
  <si>
    <t>Audio headsets</t>
  </si>
  <si>
    <t>Printers</t>
  </si>
  <si>
    <t>Home and office printers</t>
  </si>
  <si>
    <t>Accessories</t>
  </si>
  <si>
    <t>Miscellaneous accessories</t>
  </si>
  <si>
    <t>Supplier</t>
  </si>
  <si>
    <t>supplier_name</t>
  </si>
  <si>
    <t>contact_name</t>
  </si>
  <si>
    <t>contact_email</t>
  </si>
  <si>
    <t>rating</t>
  </si>
  <si>
    <t>phone</t>
  </si>
  <si>
    <t>insert into Supplier values(</t>
  </si>
  <si>
    <t>TechHive Supply Co</t>
  </si>
  <si>
    <t>Jordan Ellis</t>
  </si>
  <si>
    <t>jordan.ellis@techhive.com</t>
  </si>
  <si>
    <t>800-555-1001</t>
  </si>
  <si>
    <t>Vertex Components</t>
  </si>
  <si>
    <t>Riley Carter</t>
  </si>
  <si>
    <t>riley.carter@vertexcomp.com</t>
  </si>
  <si>
    <t>800-555-1002</t>
  </si>
  <si>
    <t>BluePeak Disicators</t>
  </si>
  <si>
    <t>Morgan Price</t>
  </si>
  <si>
    <t>morgan.price@bluepeakdist.com</t>
  </si>
  <si>
    <t>800-555-1003</t>
  </si>
  <si>
    <t>Summit IT Wholesale</t>
  </si>
  <si>
    <t>Taylor Brooks</t>
  </si>
  <si>
    <t>taylor.brooks@summitit.com</t>
  </si>
  <si>
    <t>800-555-1004</t>
  </si>
  <si>
    <t>Greenline Tech Partners</t>
  </si>
  <si>
    <t>Casey Ward</t>
  </si>
  <si>
    <t>casey.ward@greenlinetech.com</t>
  </si>
  <si>
    <t>800-555-1005</t>
  </si>
  <si>
    <t>Northbridge Logistics</t>
  </si>
  <si>
    <t>Avery Scott</t>
  </si>
  <si>
    <t>avery.scott@northbridge.com</t>
  </si>
  <si>
    <t>800-555-1006</t>
  </si>
  <si>
    <t>IronGate Hardware</t>
  </si>
  <si>
    <t>Jamie Flores</t>
  </si>
  <si>
    <t>jamie.flores@irongatehw.com</t>
  </si>
  <si>
    <t>800-555-1007</t>
  </si>
  <si>
    <t>Crescent Tech Supply</t>
  </si>
  <si>
    <t>Logan Reyes</t>
  </si>
  <si>
    <t>logan.reyes@crescenttech.com</t>
  </si>
  <si>
    <t>800-555-1008</t>
  </si>
  <si>
    <t>SilverStream Electronics</t>
  </si>
  <si>
    <t>Drew King</t>
  </si>
  <si>
    <t>drew.king@silverstream.com</t>
  </si>
  <si>
    <t>800-555-1009</t>
  </si>
  <si>
    <t>BrightCircuit Global</t>
  </si>
  <si>
    <t>Kendall Lane</t>
  </si>
  <si>
    <t>kendall.lane@brightcircuit.com</t>
  </si>
  <si>
    <t>800-555-1010</t>
  </si>
  <si>
    <t>Customer</t>
  </si>
  <si>
    <t>customer_id</t>
  </si>
  <si>
    <t>fname</t>
  </si>
  <si>
    <t>lname</t>
  </si>
  <si>
    <t>customer_email</t>
  </si>
  <si>
    <t>customer_phone</t>
  </si>
  <si>
    <t>insert into Customer values(</t>
  </si>
  <si>
    <t>Liam</t>
  </si>
  <si>
    <t>Carter</t>
  </si>
  <si>
    <t>liam.carter@example.com</t>
  </si>
  <si>
    <t>555-218-9043</t>
  </si>
  <si>
    <t>Emma</t>
  </si>
  <si>
    <t>Reed</t>
  </si>
  <si>
    <t>emma.reed@example.com</t>
  </si>
  <si>
    <t>555-762-1189</t>
  </si>
  <si>
    <t>Noah</t>
  </si>
  <si>
    <t>Mitchell</t>
  </si>
  <si>
    <t>noah.mitchell@example.com</t>
  </si>
  <si>
    <t>555-439-6702</t>
  </si>
  <si>
    <t>Ava</t>
  </si>
  <si>
    <t>Ramirez</t>
  </si>
  <si>
    <t>ava.ramirez@example.com</t>
  </si>
  <si>
    <t>555-983-2417</t>
  </si>
  <si>
    <t>William</t>
  </si>
  <si>
    <t>Hayes</t>
  </si>
  <si>
    <t>william.hayes@example.com</t>
  </si>
  <si>
    <t>555-640-5528</t>
  </si>
  <si>
    <t>Sophia</t>
  </si>
  <si>
    <t>Bennett</t>
  </si>
  <si>
    <t>sophia.bennett@example.com</t>
  </si>
  <si>
    <t>555-774-6621</t>
  </si>
  <si>
    <t>James</t>
  </si>
  <si>
    <t>Parker</t>
  </si>
  <si>
    <t>james.parker@example.com</t>
  </si>
  <si>
    <t>555-317-9084</t>
  </si>
  <si>
    <t>Isabella</t>
  </si>
  <si>
    <t>Foster</t>
  </si>
  <si>
    <t>isabella.foster@example.com</t>
  </si>
  <si>
    <t>555-205-4498</t>
  </si>
  <si>
    <t>Elijah</t>
  </si>
  <si>
    <t>Griffin</t>
  </si>
  <si>
    <t>elijah.griffin@example.com</t>
  </si>
  <si>
    <t>555-910-3374</t>
  </si>
  <si>
    <t>Mia</t>
  </si>
  <si>
    <t>Sullivan</t>
  </si>
  <si>
    <t>mia.sullivan@example.com</t>
  </si>
  <si>
    <t>555-682-7940</t>
  </si>
  <si>
    <t>Logan</t>
  </si>
  <si>
    <t>Barnes</t>
  </si>
  <si>
    <t>logan.barnes@example.com</t>
  </si>
  <si>
    <t>555-448-1206</t>
  </si>
  <si>
    <t>Harper</t>
  </si>
  <si>
    <t>Cole</t>
  </si>
  <si>
    <t>harper.cole@example.com</t>
  </si>
  <si>
    <t>555-799-4523</t>
  </si>
  <si>
    <t>Ethan</t>
  </si>
  <si>
    <t>Turner</t>
  </si>
  <si>
    <t>ethan.turner@example.com</t>
  </si>
  <si>
    <t>555-214-9031</t>
  </si>
  <si>
    <t>Olivia</t>
  </si>
  <si>
    <t>Phillips</t>
  </si>
  <si>
    <t>olivia.phillips@example.com</t>
  </si>
  <si>
    <t>555-782-1194</t>
  </si>
  <si>
    <t>Mason</t>
  </si>
  <si>
    <t>Howard</t>
  </si>
  <si>
    <t>mason.howard@example.com</t>
  </si>
  <si>
    <t>555-439-6728</t>
  </si>
  <si>
    <t>Charlotte</t>
  </si>
  <si>
    <t>Ward</t>
  </si>
  <si>
    <t>charlotte.ward@example.com</t>
  </si>
  <si>
    <t>555-983-2475</t>
  </si>
  <si>
    <t>Lucas</t>
  </si>
  <si>
    <t>Torres</t>
  </si>
  <si>
    <t>lucas.torres@example.com</t>
  </si>
  <si>
    <t>555-640-5582</t>
  </si>
  <si>
    <t>Amelia</t>
  </si>
  <si>
    <t>Peterson</t>
  </si>
  <si>
    <t>amelia.peterson@example.com</t>
  </si>
  <si>
    <t>555-774-6639</t>
  </si>
  <si>
    <t>Henry</t>
  </si>
  <si>
    <t>Gray</t>
  </si>
  <si>
    <t>henry.gray@example.com</t>
  </si>
  <si>
    <t>555-317-9072</t>
  </si>
  <si>
    <t>Evelyn</t>
  </si>
  <si>
    <t>Ramsey</t>
  </si>
  <si>
    <t>evelyn.ramsey@example.com</t>
  </si>
  <si>
    <t>555-205-4481</t>
  </si>
  <si>
    <t>Alexander</t>
  </si>
  <si>
    <t>alexander.james@example.com</t>
  </si>
  <si>
    <t>555-910-3379</t>
  </si>
  <si>
    <t>Abigail</t>
  </si>
  <si>
    <t>Hughes</t>
  </si>
  <si>
    <t>abigail.hughes@example.com</t>
  </si>
  <si>
    <t>555-682-7954</t>
  </si>
  <si>
    <t>Daniel</t>
  </si>
  <si>
    <t>Butler</t>
  </si>
  <si>
    <t>daniel.butler@example.com</t>
  </si>
  <si>
    <t>555-448-1273</t>
  </si>
  <si>
    <t>Ella</t>
  </si>
  <si>
    <t>Simmons</t>
  </si>
  <si>
    <t>ella.simmons@example.com</t>
  </si>
  <si>
    <t>555-799-4518</t>
  </si>
  <si>
    <t>Matthew</t>
  </si>
  <si>
    <t>matthew.foster@example.com</t>
  </si>
  <si>
    <t>555-910-0048</t>
  </si>
  <si>
    <t>Scarlett</t>
  </si>
  <si>
    <t>Gonzalez</t>
  </si>
  <si>
    <t>scarlett.gonzalez@example.com</t>
  </si>
  <si>
    <t>555-910-1186</t>
  </si>
  <si>
    <t>Joseph</t>
  </si>
  <si>
    <t>Bryant</t>
  </si>
  <si>
    <t>joseph.bryant@example.com</t>
  </si>
  <si>
    <t>555-910-2284</t>
  </si>
  <si>
    <t>Grace</t>
  </si>
  <si>
    <t>grace.alexander@example.com</t>
  </si>
  <si>
    <t>555-910-3371</t>
  </si>
  <si>
    <t>David</t>
  </si>
  <si>
    <t>Russell</t>
  </si>
  <si>
    <t>david.russell@example.com</t>
  </si>
  <si>
    <t>555-910-4487</t>
  </si>
  <si>
    <t>Chloe</t>
  </si>
  <si>
    <t>chloe.griffin@example.com</t>
  </si>
  <si>
    <t>555-910-5529</t>
  </si>
  <si>
    <t>Wyatt</t>
  </si>
  <si>
    <t>Diaz</t>
  </si>
  <si>
    <t>wyatt.diaz@example.com</t>
  </si>
  <si>
    <t>555-910-6674</t>
  </si>
  <si>
    <t>Zoey</t>
  </si>
  <si>
    <t>zoey.hayes@example.com</t>
  </si>
  <si>
    <t>555-910-7742</t>
  </si>
  <si>
    <t>Aiden</t>
  </si>
  <si>
    <t>Walker</t>
  </si>
  <si>
    <t>aiden.walker@example.com</t>
  </si>
  <si>
    <t>555-910-8812</t>
  </si>
  <si>
    <t>Nora</t>
  </si>
  <si>
    <t>Cunningham</t>
  </si>
  <si>
    <t>nora.cunningham@example.com</t>
  </si>
  <si>
    <t>555-910-7746</t>
  </si>
  <si>
    <t>Caleb</t>
  </si>
  <si>
    <t>Henderson</t>
  </si>
  <si>
    <t>caleb.henderson@example.com</t>
  </si>
  <si>
    <t>555-910-6638</t>
  </si>
  <si>
    <t>Lily</t>
  </si>
  <si>
    <t>Murphy</t>
  </si>
  <si>
    <t>lily.murphy@example.com</t>
  </si>
  <si>
    <t>555-910-5524</t>
  </si>
  <si>
    <t>Julian</t>
  </si>
  <si>
    <t>Reeves</t>
  </si>
  <si>
    <t>julian.reeves@example.com</t>
  </si>
  <si>
    <t>555-910-4492</t>
  </si>
  <si>
    <t>Aria</t>
  </si>
  <si>
    <t>Douglas</t>
  </si>
  <si>
    <t>aria.douglas@example.com</t>
  </si>
  <si>
    <t>555-910-3381</t>
  </si>
  <si>
    <t>Mateo</t>
  </si>
  <si>
    <t>Keller</t>
  </si>
  <si>
    <t>mateo.keller@example.com</t>
  </si>
  <si>
    <t>555-910-2290</t>
  </si>
  <si>
    <t>Zoe</t>
  </si>
  <si>
    <t>Harrington</t>
  </si>
  <si>
    <t>zoe.harrington@example.com</t>
  </si>
  <si>
    <t>555-910-1185</t>
  </si>
  <si>
    <t>Isaac</t>
  </si>
  <si>
    <t>Stevens</t>
  </si>
  <si>
    <t>isaac.stevens@example.com</t>
  </si>
  <si>
    <t>555-910-0079</t>
  </si>
  <si>
    <t>Penelope</t>
  </si>
  <si>
    <t>Gordon</t>
  </si>
  <si>
    <t>penelope.gordon@example.com</t>
  </si>
  <si>
    <t>555-910-5563</t>
  </si>
  <si>
    <t>Customer Address</t>
  </si>
  <si>
    <t>cust_address_id</t>
  </si>
  <si>
    <t>line1</t>
  </si>
  <si>
    <t>city</t>
  </si>
  <si>
    <t>state</t>
  </si>
  <si>
    <t>zip</t>
  </si>
  <si>
    <t>country</t>
  </si>
  <si>
    <t>insert into Customer_Address values(</t>
  </si>
  <si>
    <t>214 Magnolia Lane</t>
  </si>
  <si>
    <t>Oxford</t>
  </si>
  <si>
    <t>MS</t>
  </si>
  <si>
    <t>587 Rebel Drive</t>
  </si>
  <si>
    <t>1020 Jefferson Avenue</t>
  </si>
  <si>
    <t>341 Old Taylor Road</t>
  </si>
  <si>
    <t>755 Maple Grove Way</t>
  </si>
  <si>
    <t>128 Creekwood Bend</t>
  </si>
  <si>
    <t>912 College Hill Road</t>
  </si>
  <si>
    <t>467 Oak Ridge Loop</t>
  </si>
  <si>
    <t xml:space="preserve">233 Pinehurst Cove </t>
  </si>
  <si>
    <t xml:space="preserve">621 Fraternity Row </t>
  </si>
  <si>
    <t>889 Sorority Row</t>
  </si>
  <si>
    <t>304 Jackson Avenue East</t>
  </si>
  <si>
    <t>1427 Silver Ridge Court</t>
  </si>
  <si>
    <t>908 Willow Bend Parkway</t>
  </si>
  <si>
    <t>2218 Oak Hollow Terrace</t>
  </si>
  <si>
    <t>567 Maple Ledge Drive</t>
  </si>
  <si>
    <t>3104 Pine Crest Landing</t>
  </si>
  <si>
    <t>782 Country Brook Lane</t>
  </si>
  <si>
    <t>1945 Sunrise Meadow Drive</t>
  </si>
  <si>
    <t>4550 Crestview Summit Road</t>
  </si>
  <si>
    <t>629 Birchmont Valley Drive</t>
  </si>
  <si>
    <t>11803 Autumn Grove Trail</t>
  </si>
  <si>
    <t>732 Redwood Crossing Lane</t>
  </si>
  <si>
    <t>2549 Lakeshore Edge Drive</t>
  </si>
  <si>
    <t>880 Stonehaven Ridge Court</t>
  </si>
  <si>
    <t>333 Winding River Path</t>
  </si>
  <si>
    <t>1460 Copperleaf Hill Drive</t>
  </si>
  <si>
    <t>4987 Hawthorne Crest Loop</t>
  </si>
  <si>
    <t>2095 Meadow Chase Lane</t>
  </si>
  <si>
    <t>5153 Whispering Pine Overlook,</t>
  </si>
  <si>
    <t>6810 Brookside Arbor Street</t>
  </si>
  <si>
    <t>1274 Canyon Ridge Overlook</t>
  </si>
  <si>
    <t>224 Briarwood Meadow Lane</t>
  </si>
  <si>
    <t>612 Autumn Crest Boulevard</t>
  </si>
  <si>
    <t>1937 Willow Ridge Pass</t>
  </si>
  <si>
    <t>480 Cedarbrook Landing</t>
  </si>
  <si>
    <t>1580 Highland Brook Court</t>
  </si>
  <si>
    <t>729 Meadowstone Bluff</t>
  </si>
  <si>
    <t>205 Oakridge River Trail</t>
  </si>
  <si>
    <t>3349 Pine Haven Terrace</t>
  </si>
  <si>
    <t>117 Creekside Grove Road</t>
  </si>
  <si>
    <t>890 Silverleaf Hollow Drive</t>
  </si>
  <si>
    <t>Orders</t>
  </si>
  <si>
    <t>order_id</t>
  </si>
  <si>
    <t>shipping_address_id</t>
  </si>
  <si>
    <t>order_date</t>
  </si>
  <si>
    <t>status</t>
  </si>
  <si>
    <t>subtotal_amount</t>
  </si>
  <si>
    <t>insert into Orders values(</t>
  </si>
  <si>
    <t>Delivered</t>
  </si>
  <si>
    <t>Shipped</t>
  </si>
  <si>
    <t xml:space="preserve">Order Items </t>
  </si>
  <si>
    <t>order_item_id</t>
  </si>
  <si>
    <t>quantity</t>
  </si>
  <si>
    <t>line_total</t>
  </si>
  <si>
    <t>insert into Order_Item values(</t>
  </si>
  <si>
    <t xml:space="preserve">Payment </t>
  </si>
  <si>
    <t>payment_id</t>
  </si>
  <si>
    <t>payment_method</t>
  </si>
  <si>
    <t>amount</t>
  </si>
  <si>
    <t>payment_date</t>
  </si>
  <si>
    <t>transaction_ref</t>
  </si>
  <si>
    <t>insert into Payment values(</t>
  </si>
  <si>
    <t>Debit Card</t>
  </si>
  <si>
    <t>Completed</t>
  </si>
  <si>
    <t>TXN-1001</t>
  </si>
  <si>
    <t>Credit Card</t>
  </si>
  <si>
    <t>TXN-1002</t>
  </si>
  <si>
    <t>TXN-1003</t>
  </si>
  <si>
    <t>TXN-1004</t>
  </si>
  <si>
    <t>TXN-1005</t>
  </si>
  <si>
    <t>TXN-1006</t>
  </si>
  <si>
    <t>TXN-1007</t>
  </si>
  <si>
    <t>TXN-1008</t>
  </si>
  <si>
    <t>TXN-1009</t>
  </si>
  <si>
    <t>TXN-1010</t>
  </si>
  <si>
    <t>TXN-1011</t>
  </si>
  <si>
    <t>TXN-1012</t>
  </si>
  <si>
    <t>TXN-1013</t>
  </si>
  <si>
    <t>TXN-1014</t>
  </si>
  <si>
    <t>TXN-1015</t>
  </si>
  <si>
    <t>TXN-1016</t>
  </si>
  <si>
    <t>TXN-1017</t>
  </si>
  <si>
    <t>TXN-1018</t>
  </si>
  <si>
    <t>TXN-1019</t>
  </si>
  <si>
    <t>TXN-1020</t>
  </si>
  <si>
    <t>TXN-1021</t>
  </si>
  <si>
    <t>TXN-1022</t>
  </si>
  <si>
    <t>TXN-1023</t>
  </si>
  <si>
    <t>TXN-1024</t>
  </si>
  <si>
    <t>TXN-1025</t>
  </si>
  <si>
    <t>TXN-1026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</si>
  <si>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</si>
  <si>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</si>
  <si>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</si>
  <si>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</si>
  <si>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</si>
  <si>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</si>
  <si>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</si>
  <si>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</si>
  <si>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</si>
  <si>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</si>
  <si>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</si>
  <si>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</si>
  <si>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</si>
  <si>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</si>
  <si>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</si>
  <si>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</si>
  <si>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 xml:space="preserve">Shipment </t>
  </si>
  <si>
    <t>shipment_id</t>
  </si>
  <si>
    <t>warehouse_id</t>
  </si>
  <si>
    <t>carrier</t>
  </si>
  <si>
    <t>tracking_number</t>
  </si>
  <si>
    <t>ship_date</t>
  </si>
  <si>
    <t>delivery_date</t>
  </si>
  <si>
    <t>insert into Shipment values(</t>
  </si>
  <si>
    <t>FedEx</t>
  </si>
  <si>
    <t>TRK00001</t>
  </si>
  <si>
    <t>UPS</t>
  </si>
  <si>
    <t>TRK00002</t>
  </si>
  <si>
    <t>TRK00003</t>
  </si>
  <si>
    <t>TRK00004</t>
  </si>
  <si>
    <t>TRK00005</t>
  </si>
  <si>
    <t>TRK00006</t>
  </si>
  <si>
    <t>TRK00007</t>
  </si>
  <si>
    <t>TRK00008</t>
  </si>
  <si>
    <t>TRK00009</t>
  </si>
  <si>
    <t>TRK00010</t>
  </si>
  <si>
    <t>TRK00011</t>
  </si>
  <si>
    <t>TRK00012</t>
  </si>
  <si>
    <t>TRK00013</t>
  </si>
  <si>
    <t>TRK00014</t>
  </si>
  <si>
    <t>TRK00015</t>
  </si>
  <si>
    <t>TRK00016</t>
  </si>
  <si>
    <t>TRK00017</t>
  </si>
  <si>
    <t>TRK00018</t>
  </si>
  <si>
    <t>TRK00019</t>
  </si>
  <si>
    <t>TRK00020</t>
  </si>
  <si>
    <t>TRK00021</t>
  </si>
  <si>
    <t>TRK00022</t>
  </si>
  <si>
    <t>TRK00023</t>
  </si>
  <si>
    <t>TRK00024</t>
  </si>
  <si>
    <t>TRK00025</t>
  </si>
  <si>
    <t>TRK00026</t>
  </si>
  <si>
    <t>TRK00027</t>
  </si>
  <si>
    <t>TRK00028</t>
  </si>
  <si>
    <t>TRK00029</t>
  </si>
  <si>
    <t>TRK00030</t>
  </si>
  <si>
    <t>TRK00031</t>
  </si>
  <si>
    <t>TRK00032</t>
  </si>
  <si>
    <t>TRK00033</t>
  </si>
  <si>
    <t>TRK00034</t>
  </si>
  <si>
    <t>TRK00035</t>
  </si>
  <si>
    <t>TRK00036</t>
  </si>
  <si>
    <t>TRK00037</t>
  </si>
  <si>
    <t>TRK00038</t>
  </si>
  <si>
    <t>TRK00039</t>
  </si>
  <si>
    <t>TRK00040</t>
  </si>
  <si>
    <t>TRK00041</t>
  </si>
  <si>
    <t>TRK00042</t>
  </si>
  <si>
    <t>Warehouse</t>
  </si>
  <si>
    <t>inventory_id</t>
  </si>
  <si>
    <t>Address_Line1</t>
  </si>
  <si>
    <t>City</t>
  </si>
  <si>
    <t>State</t>
  </si>
  <si>
    <t>Zip</t>
  </si>
  <si>
    <t>insert into Warehouse values(</t>
  </si>
  <si>
    <t>Warehouse 1</t>
  </si>
  <si>
    <t xml:space="preserve">34 Industrial Park Drive </t>
  </si>
  <si>
    <t>Nashville</t>
  </si>
  <si>
    <t>TN</t>
  </si>
  <si>
    <t>Warehouse 2</t>
  </si>
  <si>
    <t>102 County Road 401</t>
  </si>
  <si>
    <t>Memphis</t>
  </si>
  <si>
    <t>Warehouse 3</t>
  </si>
  <si>
    <t>18 Ed Perry Boulevard</t>
  </si>
  <si>
    <t>Atlanta</t>
  </si>
  <si>
    <t>GA</t>
  </si>
  <si>
    <t>Warehouse 4</t>
  </si>
  <si>
    <t>250 McLarty Road</t>
  </si>
  <si>
    <t>Warehouse 5</t>
  </si>
  <si>
    <t xml:space="preserve">71 Highway 7 South </t>
  </si>
  <si>
    <t>Dallas</t>
  </si>
  <si>
    <t>TX</t>
  </si>
  <si>
    <t>Warehouse 6</t>
  </si>
  <si>
    <t>145 Industrial Park Loop</t>
  </si>
  <si>
    <t>Warehouse 7</t>
  </si>
  <si>
    <t xml:space="preserve">500 Highway 30 East  </t>
  </si>
  <si>
    <t>Atlanda</t>
  </si>
  <si>
    <t>Warehouse 8</t>
  </si>
  <si>
    <t>2600 West Oxford Loop</t>
  </si>
  <si>
    <t>Warehouse 9</t>
  </si>
  <si>
    <t>12 Office Park Drive</t>
  </si>
  <si>
    <t>Warehouse 10</t>
  </si>
  <si>
    <t xml:space="preserve">212 Allison Cove </t>
  </si>
  <si>
    <t>Inventory</t>
  </si>
  <si>
    <t>quantity_on_hand</t>
  </si>
  <si>
    <t>reorder_point</t>
  </si>
  <si>
    <t>safety_stock</t>
  </si>
  <si>
    <t>insert into Inventory values(</t>
  </si>
  <si>
    <t>Return</t>
  </si>
  <si>
    <t>return_id</t>
  </si>
  <si>
    <t>refund_amount</t>
  </si>
  <si>
    <t>reason_code</t>
  </si>
  <si>
    <t>insert into Return values(</t>
  </si>
  <si>
    <t>Pending</t>
  </si>
  <si>
    <t>OTHER</t>
  </si>
  <si>
    <t>DAMAGED</t>
  </si>
  <si>
    <t>Approved</t>
  </si>
  <si>
    <t>WRONG_ITEM</t>
  </si>
  <si>
    <t>DEFECTIVE</t>
  </si>
  <si>
    <t>Review</t>
  </si>
  <si>
    <t>review_id</t>
  </si>
  <si>
    <t>review_text</t>
  </si>
  <si>
    <t>review_date</t>
  </si>
  <si>
    <t>insert into Review values(</t>
  </si>
  <si>
    <t>Product arrived quickly and works great. The build quality feels premium</t>
  </si>
  <si>
    <t>Good performance, but the battery life could be better. Still a strong value overall</t>
  </si>
  <si>
    <t>Exceeded expectations. I use this every day for work and haven’t run into a single issue</t>
  </si>
  <si>
    <t>It is okay, but not as durable as I hoped. Might be better for light or casual use</t>
  </si>
  <si>
    <t>Loving the smooth setup and fast speeds. Great pick for anyone needing solid performance</t>
  </si>
  <si>
    <t>Decent features, but the price feels a little high. Customer support was helpful though</t>
  </si>
  <si>
    <t>Amazing device. Crisp display, fast response, and very comfortable to use daily</t>
  </si>
  <si>
    <t>Really impressed with the performance so far. Runs fast and handles everything I throw at it</t>
  </si>
  <si>
    <t>Comfortable to use, but I wish the keys felt a bit more solid for long typing sessions</t>
  </si>
  <si>
    <t>Reliable storage and easy to set up. Great for backups and extra game installs</t>
  </si>
  <si>
    <t>Incredible graphics performance. Games run smoother than I expected even at max settings</t>
  </si>
  <si>
    <t>Display quality is sharp, but I have noticed some minor backlight bleed in darker scenes</t>
  </si>
  <si>
    <t>Lightweight and portable, perfect for classes and coffee shops. Battery life has been solid</t>
  </si>
  <si>
    <t>Handles video editing and multitasking with no lag. Definitely worth the upgrade price</t>
  </si>
  <si>
    <t>The ultrawide screen makes productivity and gaming much more immersive and efficient</t>
  </si>
  <si>
    <t>Colors look fantastic and it is super smooth for both work and streaming content</t>
  </si>
  <si>
    <t>Good overall, but it runs a little warmer and louder than I expected under heavy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</si>
</sst>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</font>
    <font>
      <u/>
      <sz val="12"/>
      <color rgb="FFFF0000"/>
      <name val="Calibri"/>
      <family val="2"/>
    </font>
    <font>
      <sz val="12"/>
      <color rgb="FF000000"/>
      <name val="Calibri"/>
      <family val="2"/>
    </font>
    <font>
      <i/>
      <sz val="12"/>
      <color rgb="FF34A853"/>
      <name val="Calibri"/>
      <family val="2"/>
    </font>
    <font>
      <u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FFFFFF"/>
      </patternFill>
    </fill>
    <fill>
      <patternFill patternType="solid">
        <fgColor rgb="FFB3CEFB"/>
        <bgColor rgb="FFFFFFFF"/>
      </patternFill>
    </fill>
    <fill>
      <patternFill patternType="solid">
        <fgColor rgb="FFD9E7FD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0" borderId="0" xfId="1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4" borderId="3" xfId="0" applyFont="1" applyFill="1" applyBorder="1" applyAlignment="1">
      <alignment horizontal="left"/>
    </xf>
  </cellXfs>
  <cellStyles count="2">
    <cellStyle name="Normal" xfId="0" builtinId="0" customBuiltin="1"/>
    <cellStyle name="Normal 2" xfId="1" xr:uid="{00000000-0005-0000-0000-000001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4894756" count="1">
        <pm:charStyle name="Normal" fontId="0" Id="1"/>
      </pm:charStyles>
      <pm:colors xmlns:pm="smNativeData" id="1764894756" count="4">
        <pm:color name="Color 24" rgb="34A853"/>
        <pm:color name="Color 25" rgb="C9DAF8"/>
        <pm:color name="Color 26" rgb="B3CEFB"/>
        <pm:color name="Color 27" rgb="D9E7FD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rand8.com/" TargetMode="External"/><Relationship Id="rId3" Type="http://schemas.openxmlformats.org/officeDocument/2006/relationships/hyperlink" Target="https://www.brand3.com/" TargetMode="External"/><Relationship Id="rId7" Type="http://schemas.openxmlformats.org/officeDocument/2006/relationships/hyperlink" Target="https://www.brand7.com/" TargetMode="External"/><Relationship Id="rId2" Type="http://schemas.openxmlformats.org/officeDocument/2006/relationships/hyperlink" Target="https://www.brand2.com/" TargetMode="External"/><Relationship Id="rId1" Type="http://schemas.openxmlformats.org/officeDocument/2006/relationships/hyperlink" Target="https://www.brand1.com/" TargetMode="External"/><Relationship Id="rId6" Type="http://schemas.openxmlformats.org/officeDocument/2006/relationships/hyperlink" Target="https://www.brand6.com/" TargetMode="External"/><Relationship Id="rId5" Type="http://schemas.openxmlformats.org/officeDocument/2006/relationships/hyperlink" Target="https://www.brand5.com/" TargetMode="External"/><Relationship Id="rId4" Type="http://schemas.openxmlformats.org/officeDocument/2006/relationships/hyperlink" Target="https://www.brand4.com/" TargetMode="External"/><Relationship Id="rId9" Type="http://schemas.openxmlformats.org/officeDocument/2006/relationships/hyperlink" Target="https://www.brand10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419"/>
  <sheetViews>
    <sheetView tabSelected="1" topLeftCell="A364" zoomScale="55" zoomScaleNormal="55" workbookViewId="0">
      <selection activeCell="F404" sqref="F404"/>
    </sheetView>
  </sheetViews>
  <sheetFormatPr defaultColWidth="12.6640625" defaultRowHeight="15.75" customHeight="1" x14ac:dyDescent="0.3"/>
  <cols>
    <col min="1" max="1" width="12.6640625" style="6"/>
    <col min="2" max="2" width="26.88671875" style="6" customWidth="1"/>
    <col min="3" max="3" width="18.77734375" style="6" customWidth="1"/>
    <col min="4" max="4" width="39.6640625" style="6" customWidth="1"/>
    <col min="5" max="5" width="49.88671875" style="6" customWidth="1"/>
    <col min="6" max="7" width="21.109375" style="6" customWidth="1"/>
    <col min="8" max="8" width="18.77734375" style="6" customWidth="1"/>
    <col min="9" max="9" width="24" style="6" customWidth="1"/>
    <col min="10" max="10" width="16.44140625" style="6" customWidth="1"/>
    <col min="11" max="11" width="118" style="6" customWidth="1"/>
    <col min="12" max="16384" width="12.6640625" style="6"/>
  </cols>
  <sheetData>
    <row r="2" spans="2:11" ht="15.75" customHeight="1" x14ac:dyDescent="0.3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3" t="s">
        <v>5</v>
      </c>
      <c r="H2" s="3" t="s">
        <v>6</v>
      </c>
      <c r="I2" s="3" t="s">
        <v>7</v>
      </c>
      <c r="K2" s="3" t="s">
        <v>8</v>
      </c>
    </row>
    <row r="3" spans="2:11" ht="15.6" x14ac:dyDescent="0.3">
      <c r="B3" s="6" t="s">
        <v>9</v>
      </c>
      <c r="C3" s="6">
        <v>1</v>
      </c>
      <c r="D3" s="6" t="s">
        <v>10</v>
      </c>
      <c r="E3" s="10">
        <v>1</v>
      </c>
      <c r="F3" s="10">
        <v>1</v>
      </c>
      <c r="G3" s="10" t="s">
        <v>11</v>
      </c>
      <c r="H3" s="10">
        <v>1899.99</v>
      </c>
      <c r="I3" s="10" t="s">
        <v>12</v>
      </c>
      <c r="K3" s="6" t="str">
        <f t="shared" ref="K3:K24" si="0">B3&amp;C3&amp;",'"&amp;D3&amp;"',"&amp;E3&amp;","&amp;F3&amp;",'"&amp;G3&amp;"',"&amp;H3&amp;",'"&amp;I3&amp;"');"</f>
        <v>insert into Product values(1,'SKU-1001',1,1,'Dell XPS 15',1899.99,'USA');</v>
      </c>
    </row>
    <row r="4" spans="2:11" ht="15.6" x14ac:dyDescent="0.3">
      <c r="B4" s="6" t="s">
        <v>9</v>
      </c>
      <c r="C4" s="6">
        <v>2</v>
      </c>
      <c r="D4" s="6" t="s">
        <v>13</v>
      </c>
      <c r="E4" s="10">
        <v>2</v>
      </c>
      <c r="F4" s="10">
        <v>1</v>
      </c>
      <c r="G4" s="10" t="s">
        <v>14</v>
      </c>
      <c r="H4" s="10">
        <v>1199</v>
      </c>
      <c r="I4" s="10" t="s">
        <v>12</v>
      </c>
      <c r="K4" s="6" t="str">
        <f t="shared" si="0"/>
        <v>insert into Product values(2,'SKU-1002',2,1,'MacBook Air M2',1199,'USA');</v>
      </c>
    </row>
    <row r="5" spans="2:11" ht="15.6" x14ac:dyDescent="0.3">
      <c r="B5" s="6" t="s">
        <v>9</v>
      </c>
      <c r="C5" s="6">
        <v>3</v>
      </c>
      <c r="D5" s="6" t="s">
        <v>15</v>
      </c>
      <c r="E5" s="10">
        <v>3</v>
      </c>
      <c r="F5" s="10">
        <v>1</v>
      </c>
      <c r="G5" s="10" t="s">
        <v>16</v>
      </c>
      <c r="H5" s="10">
        <v>1499</v>
      </c>
      <c r="I5" s="10" t="s">
        <v>17</v>
      </c>
      <c r="K5" s="6" t="str">
        <f t="shared" si="0"/>
        <v>insert into Product values(3,'SKU-1003',3,1,'ThinkPad X1 Carbon',1499,'China');</v>
      </c>
    </row>
    <row r="6" spans="2:11" ht="15.6" x14ac:dyDescent="0.3">
      <c r="B6" s="6" t="s">
        <v>9</v>
      </c>
      <c r="C6" s="6">
        <v>4</v>
      </c>
      <c r="D6" s="6" t="s">
        <v>18</v>
      </c>
      <c r="E6" s="10">
        <v>4</v>
      </c>
      <c r="F6" s="10">
        <v>2</v>
      </c>
      <c r="G6" s="10" t="s">
        <v>19</v>
      </c>
      <c r="H6" s="10">
        <v>1799.99</v>
      </c>
      <c r="I6" s="10" t="s">
        <v>12</v>
      </c>
      <c r="K6" s="6" t="str">
        <f t="shared" si="0"/>
        <v>insert into Product values(4,'SKU-1004',4,2,'HP Omen 45L',1799.99,'USA');</v>
      </c>
    </row>
    <row r="7" spans="2:11" ht="15.6" x14ac:dyDescent="0.3">
      <c r="B7" s="6" t="s">
        <v>9</v>
      </c>
      <c r="C7" s="6">
        <v>5</v>
      </c>
      <c r="D7" s="6" t="s">
        <v>20</v>
      </c>
      <c r="E7" s="10">
        <v>5</v>
      </c>
      <c r="F7" s="10">
        <v>3</v>
      </c>
      <c r="G7" s="10" t="s">
        <v>21</v>
      </c>
      <c r="H7" s="10">
        <v>329.99</v>
      </c>
      <c r="I7" s="10" t="s">
        <v>17</v>
      </c>
      <c r="K7" s="6" t="str">
        <f t="shared" si="0"/>
        <v>insert into Product values(5,'SKU-1005',5,3,'ASUS ProArt PA278QV',329.99,'China');</v>
      </c>
    </row>
    <row r="8" spans="2:11" ht="15.6" x14ac:dyDescent="0.3">
      <c r="B8" s="6" t="s">
        <v>9</v>
      </c>
      <c r="C8" s="6">
        <v>6</v>
      </c>
      <c r="D8" s="6" t="s">
        <v>22</v>
      </c>
      <c r="E8" s="10">
        <v>7</v>
      </c>
      <c r="F8" s="10">
        <v>3</v>
      </c>
      <c r="G8" s="10" t="s">
        <v>23</v>
      </c>
      <c r="H8" s="10">
        <v>599.99</v>
      </c>
      <c r="I8" s="10" t="s">
        <v>24</v>
      </c>
      <c r="K8" s="6" t="str">
        <f t="shared" si="0"/>
        <v>insert into Product values(6,'SKU-1006',7,3,'Samsung Odyssey G7',599.99,'Vietnam');</v>
      </c>
    </row>
    <row r="9" spans="2:11" ht="15.6" x14ac:dyDescent="0.3">
      <c r="B9" s="6" t="s">
        <v>9</v>
      </c>
      <c r="C9" s="6">
        <v>7</v>
      </c>
      <c r="D9" s="6" t="s">
        <v>25</v>
      </c>
      <c r="E9" s="10">
        <v>6</v>
      </c>
      <c r="F9" s="10">
        <v>4</v>
      </c>
      <c r="G9" s="10" t="s">
        <v>26</v>
      </c>
      <c r="H9" s="10">
        <v>119.99</v>
      </c>
      <c r="I9" s="10" t="s">
        <v>27</v>
      </c>
      <c r="K9" s="6" t="str">
        <f t="shared" si="0"/>
        <v>insert into Product values(7,'SKU-1007',6,4,'Logitech MX Keys',119.99,'Switzerland');</v>
      </c>
    </row>
    <row r="10" spans="2:11" ht="15.6" x14ac:dyDescent="0.3">
      <c r="B10" s="6" t="s">
        <v>9</v>
      </c>
      <c r="C10" s="6">
        <v>8</v>
      </c>
      <c r="D10" s="6" t="s">
        <v>28</v>
      </c>
      <c r="E10" s="10">
        <v>6</v>
      </c>
      <c r="F10" s="10">
        <v>4</v>
      </c>
      <c r="G10" s="10" t="s">
        <v>29</v>
      </c>
      <c r="H10" s="10">
        <v>99.99</v>
      </c>
      <c r="I10" s="10" t="s">
        <v>27</v>
      </c>
      <c r="K10" s="6" t="str">
        <f t="shared" si="0"/>
        <v>insert into Product values(8,'SKU-1008',6,4,'Logitech MX Master 3S',99.99,'Switzerland');</v>
      </c>
    </row>
    <row r="11" spans="2:11" ht="15.6" x14ac:dyDescent="0.3">
      <c r="B11" s="6" t="s">
        <v>9</v>
      </c>
      <c r="C11" s="6">
        <v>9</v>
      </c>
      <c r="D11" s="6" t="s">
        <v>30</v>
      </c>
      <c r="E11" s="10">
        <v>8</v>
      </c>
      <c r="F11" s="10">
        <v>5</v>
      </c>
      <c r="G11" s="10" t="s">
        <v>31</v>
      </c>
      <c r="H11" s="10">
        <v>129.99</v>
      </c>
      <c r="I11" s="10" t="s">
        <v>32</v>
      </c>
      <c r="K11" s="6" t="str">
        <f t="shared" si="0"/>
        <v>insert into Product values(9,'SKU-1009',8,5,'Seagate Backup Plus 4TB',129.99,'Thailand');</v>
      </c>
    </row>
    <row r="12" spans="2:11" ht="15.6" x14ac:dyDescent="0.3">
      <c r="B12" s="6" t="s">
        <v>9</v>
      </c>
      <c r="C12" s="6">
        <v>10</v>
      </c>
      <c r="D12" s="6" t="s">
        <v>33</v>
      </c>
      <c r="E12" s="10">
        <v>8</v>
      </c>
      <c r="F12" s="10">
        <v>5</v>
      </c>
      <c r="G12" s="10" t="s">
        <v>34</v>
      </c>
      <c r="H12" s="10">
        <v>279.99</v>
      </c>
      <c r="I12" s="10" t="s">
        <v>32</v>
      </c>
      <c r="K12" s="6" t="str">
        <f t="shared" si="0"/>
        <v>insert into Product values(10,'SKU-1010',8,5,'Seagate FireCuda 530 2TB',279.99,'Thailand');</v>
      </c>
    </row>
    <row r="13" spans="2:11" ht="15.6" x14ac:dyDescent="0.3">
      <c r="B13" s="6" t="s">
        <v>9</v>
      </c>
      <c r="C13" s="6">
        <v>11</v>
      </c>
      <c r="D13" s="6" t="s">
        <v>35</v>
      </c>
      <c r="E13" s="10">
        <v>9</v>
      </c>
      <c r="F13" s="10">
        <v>6</v>
      </c>
      <c r="G13" s="10" t="s">
        <v>36</v>
      </c>
      <c r="H13" s="10">
        <v>2199.9899999999998</v>
      </c>
      <c r="I13" s="10" t="s">
        <v>17</v>
      </c>
      <c r="K13" s="6" t="str">
        <f t="shared" si="0"/>
        <v>insert into Product values(11,'SKU-1011',9,6,'Razer GeForce RTX 4090',2199.99,'China');</v>
      </c>
    </row>
    <row r="14" spans="2:11" ht="15.6" x14ac:dyDescent="0.3">
      <c r="B14" s="6" t="s">
        <v>9</v>
      </c>
      <c r="C14" s="6">
        <v>12</v>
      </c>
      <c r="D14" s="6" t="s">
        <v>37</v>
      </c>
      <c r="E14" s="10">
        <v>10</v>
      </c>
      <c r="F14" s="10">
        <v>3</v>
      </c>
      <c r="G14" s="10" t="s">
        <v>38</v>
      </c>
      <c r="H14" s="10">
        <v>799.99</v>
      </c>
      <c r="I14" s="10" t="s">
        <v>39</v>
      </c>
      <c r="K14" s="6" t="str">
        <f t="shared" si="0"/>
        <v>insert into Product values(12,'SKU-1012',10,3,'LG UltraGear 27GN950',799.99,'South Korea');</v>
      </c>
    </row>
    <row r="15" spans="2:11" ht="15.6" x14ac:dyDescent="0.3">
      <c r="B15" s="6" t="s">
        <v>9</v>
      </c>
      <c r="C15" s="6">
        <v>13</v>
      </c>
      <c r="D15" s="6" t="s">
        <v>40</v>
      </c>
      <c r="E15" s="6">
        <v>1</v>
      </c>
      <c r="F15" s="6">
        <v>1</v>
      </c>
      <c r="G15" s="6" t="s">
        <v>41</v>
      </c>
      <c r="H15" s="6">
        <v>749.99</v>
      </c>
      <c r="I15" s="6" t="s">
        <v>42</v>
      </c>
      <c r="K15" s="6" t="str">
        <f t="shared" si="0"/>
        <v>insert into Product values(13,'SKU-1013',1,1,'Dell Inspiron 14',749.99,'Mexico');</v>
      </c>
    </row>
    <row r="16" spans="2:11" ht="15.6" x14ac:dyDescent="0.3">
      <c r="B16" s="6" t="s">
        <v>9</v>
      </c>
      <c r="C16" s="6">
        <v>14</v>
      </c>
      <c r="D16" s="6" t="s">
        <v>43</v>
      </c>
      <c r="E16" s="6">
        <v>2</v>
      </c>
      <c r="F16" s="6">
        <v>1</v>
      </c>
      <c r="G16" s="6" t="s">
        <v>44</v>
      </c>
      <c r="H16" s="6">
        <v>1999</v>
      </c>
      <c r="I16" s="6" t="s">
        <v>12</v>
      </c>
      <c r="K16" s="6" t="str">
        <f t="shared" si="0"/>
        <v>insert into Product values(14,'SKU-1014',2,1,'MacBook Pro 14 M3',1999,'USA');</v>
      </c>
    </row>
    <row r="17" spans="2:11" ht="15.6" x14ac:dyDescent="0.3">
      <c r="B17" s="6" t="s">
        <v>9</v>
      </c>
      <c r="C17" s="6">
        <v>15</v>
      </c>
      <c r="D17" s="6" t="s">
        <v>45</v>
      </c>
      <c r="E17" s="6">
        <v>3</v>
      </c>
      <c r="F17" s="6">
        <v>6</v>
      </c>
      <c r="G17" s="6" t="s">
        <v>46</v>
      </c>
      <c r="H17" s="6">
        <v>1399.99</v>
      </c>
      <c r="I17" s="6" t="s">
        <v>17</v>
      </c>
      <c r="K17" s="6" t="str">
        <f t="shared" si="0"/>
        <v>insert into Product values(15,'SKU-1015',3,6,'Lenovo Legion RTX 4080 GPU',1399.99,'China');</v>
      </c>
    </row>
    <row r="18" spans="2:11" ht="15.75" customHeight="1" x14ac:dyDescent="0.3">
      <c r="B18" s="6" t="s">
        <v>9</v>
      </c>
      <c r="C18" s="6">
        <v>16</v>
      </c>
      <c r="D18" s="6" t="s">
        <v>47</v>
      </c>
      <c r="E18" s="6">
        <v>4</v>
      </c>
      <c r="F18" s="6">
        <v>2</v>
      </c>
      <c r="G18" s="6" t="s">
        <v>48</v>
      </c>
      <c r="H18" s="6">
        <v>999.99</v>
      </c>
      <c r="I18" s="6" t="s">
        <v>12</v>
      </c>
      <c r="K18" s="6" t="str">
        <f t="shared" si="0"/>
        <v>insert into Product values(16,'SKU-1016',4,2,'HP Pavilion Gaming Desktop',999.99,'USA');</v>
      </c>
    </row>
    <row r="19" spans="2:11" ht="15.75" customHeight="1" x14ac:dyDescent="0.3">
      <c r="B19" s="6" t="s">
        <v>9</v>
      </c>
      <c r="C19" s="6">
        <v>17</v>
      </c>
      <c r="D19" s="6" t="s">
        <v>49</v>
      </c>
      <c r="E19" s="6">
        <v>5</v>
      </c>
      <c r="F19" s="6">
        <v>3</v>
      </c>
      <c r="G19" s="6" t="s">
        <v>50</v>
      </c>
      <c r="H19" s="6">
        <v>399.99</v>
      </c>
      <c r="I19" s="6" t="s">
        <v>17</v>
      </c>
      <c r="K19" s="6" t="str">
        <f t="shared" si="0"/>
        <v>insert into Product values(17,'SKU-1017',5,3,'ASUS TUF VG27AQ Monitor',399.99,'China');</v>
      </c>
    </row>
    <row r="20" spans="2:11" ht="15.6" x14ac:dyDescent="0.3">
      <c r="B20" s="6" t="s">
        <v>9</v>
      </c>
      <c r="C20" s="6">
        <v>18</v>
      </c>
      <c r="D20" s="6" t="s">
        <v>51</v>
      </c>
      <c r="E20" s="6">
        <v>7</v>
      </c>
      <c r="F20" s="6">
        <v>3</v>
      </c>
      <c r="G20" s="6" t="s">
        <v>52</v>
      </c>
      <c r="H20" s="6">
        <v>1499.99</v>
      </c>
      <c r="I20" s="6" t="s">
        <v>24</v>
      </c>
      <c r="K20" s="6" t="str">
        <f t="shared" si="0"/>
        <v>insert into Product values(18,'SKU-1018',7,3,'Samsung Odyssey Neo G9',1499.99,'Vietnam');</v>
      </c>
    </row>
    <row r="21" spans="2:11" ht="15.6" x14ac:dyDescent="0.3">
      <c r="B21" s="6" t="s">
        <v>9</v>
      </c>
      <c r="C21" s="6">
        <v>19</v>
      </c>
      <c r="D21" s="6" t="s">
        <v>53</v>
      </c>
      <c r="E21" s="6">
        <v>6</v>
      </c>
      <c r="F21" s="6">
        <v>4</v>
      </c>
      <c r="G21" s="6" t="s">
        <v>54</v>
      </c>
      <c r="H21" s="6">
        <v>129.99</v>
      </c>
      <c r="I21" s="6" t="s">
        <v>27</v>
      </c>
      <c r="K21" s="6" t="str">
        <f t="shared" si="0"/>
        <v>insert into Product values(19,'SKU-1019',6,4,'Logitech G Pro X Keyboard',129.99,'Switzerland');</v>
      </c>
    </row>
    <row r="22" spans="2:11" ht="15.6" x14ac:dyDescent="0.3">
      <c r="B22" s="6" t="s">
        <v>9</v>
      </c>
      <c r="C22" s="6">
        <v>20</v>
      </c>
      <c r="D22" s="6" t="s">
        <v>55</v>
      </c>
      <c r="E22" s="6">
        <v>8</v>
      </c>
      <c r="F22" s="6">
        <v>5</v>
      </c>
      <c r="G22" s="6" t="s">
        <v>56</v>
      </c>
      <c r="H22" s="6">
        <v>249.99</v>
      </c>
      <c r="I22" s="6" t="s">
        <v>32</v>
      </c>
      <c r="K22" s="6" t="str">
        <f t="shared" si="0"/>
        <v>insert into Product values(20,'SKU-1020',8,5,'Seagate IronWolf 8TB',249.99,'Thailand');</v>
      </c>
    </row>
    <row r="23" spans="2:11" ht="15.6" x14ac:dyDescent="0.3">
      <c r="B23" s="6" t="s">
        <v>9</v>
      </c>
      <c r="C23" s="6">
        <v>21</v>
      </c>
      <c r="D23" s="6" t="s">
        <v>57</v>
      </c>
      <c r="E23" s="6">
        <v>10</v>
      </c>
      <c r="F23" s="6">
        <v>3</v>
      </c>
      <c r="G23" s="6" t="s">
        <v>58</v>
      </c>
      <c r="H23" s="6">
        <v>699.99</v>
      </c>
      <c r="I23" s="6" t="s">
        <v>39</v>
      </c>
      <c r="K23" s="6" t="str">
        <f t="shared" si="0"/>
        <v>insert into Product values(21,'SKU-1021',10,3,'LG UltraWide 34WN80C-B',699.99,'South Korea');</v>
      </c>
    </row>
    <row r="24" spans="2:11" ht="15.6" x14ac:dyDescent="0.3">
      <c r="B24" s="6" t="s">
        <v>9</v>
      </c>
      <c r="C24" s="6">
        <v>22</v>
      </c>
      <c r="D24" s="6" t="s">
        <v>59</v>
      </c>
      <c r="E24" s="6">
        <v>9</v>
      </c>
      <c r="F24" s="6">
        <v>6</v>
      </c>
      <c r="G24" s="6" t="s">
        <v>60</v>
      </c>
      <c r="H24" s="6">
        <v>1099.99</v>
      </c>
      <c r="I24" s="6" t="s">
        <v>17</v>
      </c>
      <c r="K24" s="6" t="str">
        <f t="shared" si="0"/>
        <v>insert into Product values(22,'SKU-1022',9,6,'Razer Radeon RX 7900 XT',1099.99,'China');</v>
      </c>
    </row>
    <row r="25" spans="2:11" ht="15.6" x14ac:dyDescent="0.3"/>
    <row r="26" spans="2:11" ht="15.6" x14ac:dyDescent="0.3"/>
    <row r="27" spans="2:11" ht="15.6" x14ac:dyDescent="0.3">
      <c r="B27" s="1" t="s">
        <v>61</v>
      </c>
      <c r="C27" s="2" t="s">
        <v>3</v>
      </c>
      <c r="D27" s="4" t="s">
        <v>62</v>
      </c>
      <c r="E27" s="3" t="s">
        <v>63</v>
      </c>
      <c r="F27" s="3" t="s">
        <v>64</v>
      </c>
      <c r="G27" s="3" t="s">
        <v>65</v>
      </c>
      <c r="H27" s="3" t="s">
        <v>66</v>
      </c>
    </row>
    <row r="28" spans="2:11" ht="15.6" x14ac:dyDescent="0.3">
      <c r="B28" s="6" t="s">
        <v>67</v>
      </c>
      <c r="C28" s="6">
        <v>1</v>
      </c>
      <c r="D28" s="10">
        <v>1</v>
      </c>
      <c r="E28" s="10" t="s">
        <v>68</v>
      </c>
      <c r="F28" s="11" t="s">
        <v>69</v>
      </c>
      <c r="G28" s="10" t="s">
        <v>70</v>
      </c>
      <c r="H28" s="10" t="s">
        <v>12</v>
      </c>
      <c r="K28" s="6" t="str">
        <f t="shared" ref="K28:K37" si="1">B28&amp;C28&amp;","&amp;D28&amp;",'"&amp;E28&amp;"','"&amp;F28&amp;"','"&amp;G28&amp;"','"&amp;H28&amp;"');"</f>
        <v>insert into Brand values(1,1,'Dell','https://www.dell.com/','800-624-9896','USA');</v>
      </c>
    </row>
    <row r="29" spans="2:11" ht="15.6" x14ac:dyDescent="0.3">
      <c r="B29" s="6" t="s">
        <v>67</v>
      </c>
      <c r="C29" s="6">
        <v>2</v>
      </c>
      <c r="D29" s="10">
        <v>2</v>
      </c>
      <c r="E29" s="10" t="s">
        <v>71</v>
      </c>
      <c r="F29" s="11" t="s">
        <v>72</v>
      </c>
      <c r="G29" s="10" t="s">
        <v>73</v>
      </c>
      <c r="H29" s="10" t="s">
        <v>12</v>
      </c>
      <c r="K29" s="6" t="str">
        <f t="shared" si="1"/>
        <v>insert into Brand values(2,2,'Apple','https://www.apple.com/','800-692-7753','USA');</v>
      </c>
    </row>
    <row r="30" spans="2:11" ht="15.75" customHeight="1" x14ac:dyDescent="0.3">
      <c r="B30" s="6" t="s">
        <v>67</v>
      </c>
      <c r="C30" s="6">
        <v>3</v>
      </c>
      <c r="D30" s="10">
        <v>3</v>
      </c>
      <c r="E30" s="10" t="s">
        <v>74</v>
      </c>
      <c r="F30" s="11" t="s">
        <v>75</v>
      </c>
      <c r="G30" s="10" t="s">
        <v>76</v>
      </c>
      <c r="H30" s="10" t="s">
        <v>17</v>
      </c>
      <c r="K30" s="6" t="str">
        <f t="shared" si="1"/>
        <v>insert into Brand values(3,3,'Lenovo','https://www.lenovo.com/','877-453-6686','China');</v>
      </c>
    </row>
    <row r="31" spans="2:11" ht="15.75" customHeight="1" x14ac:dyDescent="0.3">
      <c r="B31" s="6" t="s">
        <v>67</v>
      </c>
      <c r="C31" s="6">
        <v>4</v>
      </c>
      <c r="D31" s="10">
        <v>4</v>
      </c>
      <c r="E31" s="10" t="s">
        <v>77</v>
      </c>
      <c r="F31" s="11" t="s">
        <v>78</v>
      </c>
      <c r="G31" s="10" t="s">
        <v>79</v>
      </c>
      <c r="H31" s="10" t="s">
        <v>12</v>
      </c>
      <c r="K31" s="6" t="str">
        <f t="shared" si="1"/>
        <v>insert into Brand values(4,4,'HP','https://www.hp.com/','800-474-6836','USA');</v>
      </c>
    </row>
    <row r="32" spans="2:11" ht="15.6" x14ac:dyDescent="0.3">
      <c r="B32" s="6" t="s">
        <v>67</v>
      </c>
      <c r="C32" s="6">
        <v>5</v>
      </c>
      <c r="D32" s="10">
        <v>5</v>
      </c>
      <c r="E32" s="10" t="s">
        <v>80</v>
      </c>
      <c r="F32" s="11" t="s">
        <v>81</v>
      </c>
      <c r="G32" s="10" t="s">
        <v>82</v>
      </c>
      <c r="H32" s="10" t="s">
        <v>83</v>
      </c>
      <c r="K32" s="6" t="str">
        <f t="shared" si="1"/>
        <v>insert into Brand values(5,5,'ASUS','https://www.asus.com/','888-678-3688','Taiwan');</v>
      </c>
    </row>
    <row r="33" spans="2:11" ht="15.6" x14ac:dyDescent="0.3">
      <c r="B33" s="6" t="s">
        <v>67</v>
      </c>
      <c r="C33" s="6">
        <v>6</v>
      </c>
      <c r="D33" s="10">
        <v>6</v>
      </c>
      <c r="E33" s="10" t="s">
        <v>84</v>
      </c>
      <c r="F33" s="11" t="s">
        <v>85</v>
      </c>
      <c r="G33" s="10" t="s">
        <v>86</v>
      </c>
      <c r="H33" s="10" t="s">
        <v>27</v>
      </c>
      <c r="K33" s="6" t="str">
        <f t="shared" si="1"/>
        <v>insert into Brand values(6,6,'Logitech','https://www.logitech.com/','646-454-3200','Switzerland');</v>
      </c>
    </row>
    <row r="34" spans="2:11" ht="15.6" x14ac:dyDescent="0.3">
      <c r="B34" s="6" t="s">
        <v>67</v>
      </c>
      <c r="C34" s="6">
        <v>7</v>
      </c>
      <c r="D34" s="10">
        <v>7</v>
      </c>
      <c r="E34" s="10" t="s">
        <v>87</v>
      </c>
      <c r="F34" s="6" t="s">
        <v>88</v>
      </c>
      <c r="G34" s="10" t="s">
        <v>89</v>
      </c>
      <c r="H34" s="10" t="s">
        <v>39</v>
      </c>
      <c r="K34" s="6" t="str">
        <f t="shared" si="1"/>
        <v>insert into Brand values(7,7,'Samsung','https://www.samsung.com/','800-726-7864','South Korea');</v>
      </c>
    </row>
    <row r="35" spans="2:11" ht="15.6" x14ac:dyDescent="0.3">
      <c r="B35" s="6" t="s">
        <v>67</v>
      </c>
      <c r="C35" s="6">
        <v>8</v>
      </c>
      <c r="D35" s="10">
        <v>8</v>
      </c>
      <c r="E35" s="10" t="s">
        <v>90</v>
      </c>
      <c r="F35" s="11" t="s">
        <v>91</v>
      </c>
      <c r="G35" s="10" t="s">
        <v>92</v>
      </c>
      <c r="H35" s="10" t="s">
        <v>12</v>
      </c>
      <c r="K35" s="6" t="str">
        <f t="shared" si="1"/>
        <v>insert into Brand values(8,8,'Seagate','https://www.seagate.com/','800-732-4283','USA');</v>
      </c>
    </row>
    <row r="36" spans="2:11" ht="15.6" x14ac:dyDescent="0.3">
      <c r="B36" s="6" t="s">
        <v>67</v>
      </c>
      <c r="C36" s="6">
        <v>9</v>
      </c>
      <c r="D36" s="10">
        <v>9</v>
      </c>
      <c r="E36" s="10" t="s">
        <v>93</v>
      </c>
      <c r="F36" s="11" t="s">
        <v>94</v>
      </c>
      <c r="G36" s="10" t="s">
        <v>95</v>
      </c>
      <c r="H36" s="10" t="s">
        <v>12</v>
      </c>
      <c r="K36" s="6" t="str">
        <f t="shared" si="1"/>
        <v>insert into Brand values(9,9,'Razer','https://www.razer.com/','855-872-5233','USA');</v>
      </c>
    </row>
    <row r="37" spans="2:11" ht="15.6" x14ac:dyDescent="0.3">
      <c r="B37" s="6" t="s">
        <v>67</v>
      </c>
      <c r="C37" s="6">
        <v>10</v>
      </c>
      <c r="D37" s="10">
        <v>10</v>
      </c>
      <c r="E37" s="10" t="s">
        <v>96</v>
      </c>
      <c r="F37" s="11" t="s">
        <v>97</v>
      </c>
      <c r="G37" s="10" t="s">
        <v>98</v>
      </c>
      <c r="H37" s="10" t="s">
        <v>39</v>
      </c>
      <c r="K37" s="6" t="str">
        <f t="shared" si="1"/>
        <v>insert into Brand values(10,10,'LG','https://www.lg.com/','800-243-0000','South Korea');</v>
      </c>
    </row>
    <row r="38" spans="2:11" ht="15.6" x14ac:dyDescent="0.3"/>
    <row r="39" spans="2:11" ht="15.6" x14ac:dyDescent="0.3"/>
    <row r="40" spans="2:11" ht="15.6" x14ac:dyDescent="0.3">
      <c r="B40" s="1" t="s">
        <v>99</v>
      </c>
      <c r="C40" s="2" t="s">
        <v>4</v>
      </c>
      <c r="D40" s="3" t="s">
        <v>100</v>
      </c>
      <c r="E40" s="3" t="s">
        <v>101</v>
      </c>
      <c r="F40" s="3" t="s">
        <v>102</v>
      </c>
      <c r="H40" s="12"/>
      <c r="I40" s="12"/>
    </row>
    <row r="41" spans="2:11" ht="15.6" x14ac:dyDescent="0.3">
      <c r="B41" s="6" t="s">
        <v>103</v>
      </c>
      <c r="C41" s="6">
        <v>1</v>
      </c>
      <c r="D41" s="10" t="s">
        <v>104</v>
      </c>
      <c r="E41" s="10" t="s">
        <v>105</v>
      </c>
      <c r="F41" s="6" t="s">
        <v>106</v>
      </c>
      <c r="G41" s="13"/>
      <c r="K41" s="6" t="str">
        <f t="shared" ref="K41:K50" si="2">B41&amp;C41&amp;",'"&amp;D41&amp;"','"&amp;E41&amp;"','"&amp;F41&amp;"');"</f>
        <v>insert into Category values(1,'Laptops','Notebook and ultrabook computers','T');</v>
      </c>
    </row>
    <row r="42" spans="2:11" ht="15.6" x14ac:dyDescent="0.3">
      <c r="B42" s="6" t="s">
        <v>103</v>
      </c>
      <c r="C42" s="6">
        <v>2</v>
      </c>
      <c r="D42" s="10" t="s">
        <v>107</v>
      </c>
      <c r="E42" s="10" t="s">
        <v>108</v>
      </c>
      <c r="F42" s="6" t="s">
        <v>106</v>
      </c>
      <c r="G42" s="13"/>
      <c r="K42" s="6" t="str">
        <f t="shared" si="2"/>
        <v>insert into Category values(2,'Desktops','Tower and small form factor PCs','T');</v>
      </c>
    </row>
    <row r="43" spans="2:11" ht="15.6" x14ac:dyDescent="0.3">
      <c r="B43" s="6" t="s">
        <v>103</v>
      </c>
      <c r="C43" s="6">
        <v>3</v>
      </c>
      <c r="D43" s="10" t="s">
        <v>109</v>
      </c>
      <c r="E43" s="10" t="s">
        <v>110</v>
      </c>
      <c r="F43" s="6" t="s">
        <v>106</v>
      </c>
      <c r="G43" s="13"/>
      <c r="K43" s="6" t="str">
        <f t="shared" si="2"/>
        <v>insert into Category values(3,'Monitors','Standalone displays','T');</v>
      </c>
    </row>
    <row r="44" spans="2:11" ht="15.6" x14ac:dyDescent="0.3">
      <c r="B44" s="6" t="s">
        <v>103</v>
      </c>
      <c r="C44" s="6">
        <v>4</v>
      </c>
      <c r="D44" s="10" t="s">
        <v>111</v>
      </c>
      <c r="E44" s="10" t="s">
        <v>112</v>
      </c>
      <c r="F44" s="6" t="s">
        <v>106</v>
      </c>
      <c r="G44" s="13"/>
      <c r="K44" s="6" t="str">
        <f t="shared" si="2"/>
        <v>insert into Category values(4,'Keyboards &amp; Mice','Input peripherals','T');</v>
      </c>
    </row>
    <row r="45" spans="2:11" ht="15.6" x14ac:dyDescent="0.3">
      <c r="B45" s="6" t="s">
        <v>103</v>
      </c>
      <c r="C45" s="6">
        <v>5</v>
      </c>
      <c r="D45" s="10" t="s">
        <v>113</v>
      </c>
      <c r="E45" s="10" t="s">
        <v>114</v>
      </c>
      <c r="F45" s="6" t="s">
        <v>106</v>
      </c>
      <c r="G45" s="13"/>
      <c r="K45" s="6" t="str">
        <f t="shared" si="2"/>
        <v>insert into Category values(5,'Storage','Internal and external drives','T');</v>
      </c>
    </row>
    <row r="46" spans="2:11" ht="15.6" x14ac:dyDescent="0.3">
      <c r="B46" s="6" t="s">
        <v>103</v>
      </c>
      <c r="C46" s="6">
        <v>6</v>
      </c>
      <c r="D46" s="10" t="s">
        <v>115</v>
      </c>
      <c r="E46" s="10" t="s">
        <v>116</v>
      </c>
      <c r="F46" s="6" t="s">
        <v>106</v>
      </c>
      <c r="G46" s="13"/>
      <c r="K46" s="6" t="str">
        <f t="shared" si="2"/>
        <v>insert into Category values(6,'Graphics Cards','Dedicated GPUs','T');</v>
      </c>
    </row>
    <row r="47" spans="2:11" ht="15.6" x14ac:dyDescent="0.3">
      <c r="B47" s="6" t="s">
        <v>103</v>
      </c>
      <c r="C47" s="6">
        <v>7</v>
      </c>
      <c r="D47" s="10" t="s">
        <v>117</v>
      </c>
      <c r="E47" s="10" t="s">
        <v>118</v>
      </c>
      <c r="F47" s="6" t="s">
        <v>106</v>
      </c>
      <c r="G47" s="13"/>
      <c r="K47" s="6" t="str">
        <f t="shared" si="2"/>
        <v>insert into Category values(7,'Tablets','Tablet devices','T');</v>
      </c>
    </row>
    <row r="48" spans="2:11" ht="15.6" x14ac:dyDescent="0.3">
      <c r="B48" s="6" t="s">
        <v>103</v>
      </c>
      <c r="C48" s="6">
        <v>8</v>
      </c>
      <c r="D48" s="10" t="s">
        <v>119</v>
      </c>
      <c r="E48" s="10" t="s">
        <v>120</v>
      </c>
      <c r="F48" s="6" t="s">
        <v>106</v>
      </c>
      <c r="G48" s="13"/>
      <c r="K48" s="6" t="str">
        <f t="shared" si="2"/>
        <v>insert into Category values(8,'Headsets','Audio headsets','T');</v>
      </c>
    </row>
    <row r="49" spans="2:11" ht="15.6" x14ac:dyDescent="0.3">
      <c r="B49" s="6" t="s">
        <v>103</v>
      </c>
      <c r="C49" s="6">
        <v>9</v>
      </c>
      <c r="D49" s="10" t="s">
        <v>121</v>
      </c>
      <c r="E49" s="10" t="s">
        <v>122</v>
      </c>
      <c r="F49" s="6" t="s">
        <v>106</v>
      </c>
      <c r="G49" s="13"/>
      <c r="K49" s="6" t="str">
        <f t="shared" si="2"/>
        <v>insert into Category values(9,'Printers','Home and office printers','T');</v>
      </c>
    </row>
    <row r="50" spans="2:11" ht="15.6" x14ac:dyDescent="0.3">
      <c r="B50" s="6" t="s">
        <v>103</v>
      </c>
      <c r="C50" s="6">
        <v>10</v>
      </c>
      <c r="D50" s="10" t="s">
        <v>123</v>
      </c>
      <c r="E50" s="10" t="s">
        <v>124</v>
      </c>
      <c r="F50" s="6" t="s">
        <v>106</v>
      </c>
      <c r="G50" s="13"/>
      <c r="K50" s="6" t="str">
        <f t="shared" si="2"/>
        <v>insert into Category values(10,'Accessories','Miscellaneous accessories','T');</v>
      </c>
    </row>
    <row r="51" spans="2:11" ht="15.6" x14ac:dyDescent="0.3"/>
    <row r="52" spans="2:11" ht="15.6" x14ac:dyDescent="0.3"/>
    <row r="53" spans="2:11" ht="15.6" x14ac:dyDescent="0.3"/>
    <row r="54" spans="2:11" ht="15.6" x14ac:dyDescent="0.3">
      <c r="B54" s="1" t="s">
        <v>125</v>
      </c>
      <c r="C54" s="2" t="s">
        <v>62</v>
      </c>
      <c r="D54" s="3" t="s">
        <v>126</v>
      </c>
      <c r="E54" s="3" t="s">
        <v>127</v>
      </c>
      <c r="F54" s="3" t="s">
        <v>128</v>
      </c>
      <c r="G54" s="3" t="s">
        <v>129</v>
      </c>
      <c r="H54" s="3" t="s">
        <v>130</v>
      </c>
    </row>
    <row r="55" spans="2:11" ht="15.6" x14ac:dyDescent="0.3">
      <c r="B55" s="6" t="s">
        <v>131</v>
      </c>
      <c r="C55" s="6">
        <v>1</v>
      </c>
      <c r="D55" s="10" t="s">
        <v>132</v>
      </c>
      <c r="E55" s="10" t="s">
        <v>133</v>
      </c>
      <c r="F55" s="10" t="s">
        <v>134</v>
      </c>
      <c r="G55" s="10">
        <v>5</v>
      </c>
      <c r="H55" s="10" t="s">
        <v>135</v>
      </c>
      <c r="K55" s="6" t="str">
        <f t="shared" ref="K55:K64" si="3">B55&amp;C55&amp;",'"&amp;D55&amp;"','"&amp;E55&amp;"','"&amp;F55&amp;"',"&amp;G55&amp;",'"&amp;H55&amp;"');"</f>
        <v>insert into Supplier values(1,'TechHive Supply Co','Jordan Ellis','jordan.ellis@techhive.com',5,'800-555-1001');</v>
      </c>
    </row>
    <row r="56" spans="2:11" ht="15.6" x14ac:dyDescent="0.3">
      <c r="B56" s="6" t="s">
        <v>131</v>
      </c>
      <c r="C56" s="6">
        <v>2</v>
      </c>
      <c r="D56" s="10" t="s">
        <v>136</v>
      </c>
      <c r="E56" s="10" t="s">
        <v>137</v>
      </c>
      <c r="F56" s="10" t="s">
        <v>138</v>
      </c>
      <c r="G56" s="10">
        <v>4</v>
      </c>
      <c r="H56" s="10" t="s">
        <v>139</v>
      </c>
      <c r="K56" s="6" t="str">
        <f t="shared" si="3"/>
        <v>insert into Supplier values(2,'Vertex Components','Riley Carter','riley.carter@vertexcomp.com',4,'800-555-1002');</v>
      </c>
    </row>
    <row r="57" spans="2:11" ht="15.6" x14ac:dyDescent="0.3">
      <c r="B57" s="6" t="s">
        <v>131</v>
      </c>
      <c r="C57" s="6">
        <v>3</v>
      </c>
      <c r="D57" s="10" t="s">
        <v>140</v>
      </c>
      <c r="E57" s="10" t="s">
        <v>141</v>
      </c>
      <c r="F57" s="10" t="s">
        <v>142</v>
      </c>
      <c r="G57" s="10">
        <v>4</v>
      </c>
      <c r="H57" s="10" t="s">
        <v>143</v>
      </c>
      <c r="K57" s="6" t="str">
        <f t="shared" si="3"/>
        <v>insert into Supplier values(3,'BluePeak Disicators','Morgan Price','morgan.price@bluepeakdist.com',4,'800-555-1003');</v>
      </c>
    </row>
    <row r="58" spans="2:11" ht="15.6" x14ac:dyDescent="0.3">
      <c r="B58" s="6" t="s">
        <v>131</v>
      </c>
      <c r="C58" s="6">
        <v>4</v>
      </c>
      <c r="D58" s="10" t="s">
        <v>144</v>
      </c>
      <c r="E58" s="10" t="s">
        <v>145</v>
      </c>
      <c r="F58" s="10" t="s">
        <v>146</v>
      </c>
      <c r="G58" s="10">
        <v>5</v>
      </c>
      <c r="H58" s="10" t="s">
        <v>147</v>
      </c>
      <c r="K58" s="6" t="str">
        <f t="shared" si="3"/>
        <v>insert into Supplier values(4,'Summit IT Wholesale','Taylor Brooks','taylor.brooks@summitit.com',5,'800-555-1004');</v>
      </c>
    </row>
    <row r="59" spans="2:11" ht="15.6" x14ac:dyDescent="0.3">
      <c r="B59" s="6" t="s">
        <v>131</v>
      </c>
      <c r="C59" s="6">
        <v>5</v>
      </c>
      <c r="D59" s="10" t="s">
        <v>148</v>
      </c>
      <c r="E59" s="10" t="s">
        <v>149</v>
      </c>
      <c r="F59" s="10" t="s">
        <v>150</v>
      </c>
      <c r="G59" s="10">
        <v>3</v>
      </c>
      <c r="H59" s="10" t="s">
        <v>151</v>
      </c>
      <c r="K59" s="6" t="str">
        <f t="shared" si="3"/>
        <v>insert into Supplier values(5,'Greenline Tech Partners','Casey Ward','casey.ward@greenlinetech.com',3,'800-555-1005');</v>
      </c>
    </row>
    <row r="60" spans="2:11" ht="15.6" x14ac:dyDescent="0.3">
      <c r="B60" s="6" t="s">
        <v>131</v>
      </c>
      <c r="C60" s="6">
        <v>6</v>
      </c>
      <c r="D60" s="10" t="s">
        <v>152</v>
      </c>
      <c r="E60" s="10" t="s">
        <v>153</v>
      </c>
      <c r="F60" s="10" t="s">
        <v>154</v>
      </c>
      <c r="G60" s="10">
        <v>4</v>
      </c>
      <c r="H60" s="10" t="s">
        <v>155</v>
      </c>
      <c r="K60" s="6" t="str">
        <f t="shared" si="3"/>
        <v>insert into Supplier values(6,'Northbridge Logistics','Avery Scott','avery.scott@northbridge.com',4,'800-555-1006');</v>
      </c>
    </row>
    <row r="61" spans="2:11" ht="15.6" x14ac:dyDescent="0.3">
      <c r="B61" s="6" t="s">
        <v>131</v>
      </c>
      <c r="C61" s="6">
        <v>7</v>
      </c>
      <c r="D61" s="10" t="s">
        <v>156</v>
      </c>
      <c r="E61" s="10" t="s">
        <v>157</v>
      </c>
      <c r="F61" s="10" t="s">
        <v>158</v>
      </c>
      <c r="G61" s="10">
        <v>5</v>
      </c>
      <c r="H61" s="10" t="s">
        <v>159</v>
      </c>
      <c r="K61" s="6" t="str">
        <f t="shared" si="3"/>
        <v>insert into Supplier values(7,'IronGate Hardware','Jamie Flores','jamie.flores@irongatehw.com',5,'800-555-1007');</v>
      </c>
    </row>
    <row r="62" spans="2:11" ht="15.6" x14ac:dyDescent="0.3">
      <c r="B62" s="6" t="s">
        <v>131</v>
      </c>
      <c r="C62" s="6">
        <v>8</v>
      </c>
      <c r="D62" s="10" t="s">
        <v>160</v>
      </c>
      <c r="E62" s="10" t="s">
        <v>161</v>
      </c>
      <c r="F62" s="10" t="s">
        <v>162</v>
      </c>
      <c r="G62" s="10">
        <v>3</v>
      </c>
      <c r="H62" s="10" t="s">
        <v>163</v>
      </c>
      <c r="K62" s="6" t="str">
        <f t="shared" si="3"/>
        <v>insert into Supplier values(8,'Crescent Tech Supply','Logan Reyes','logan.reyes@crescenttech.com',3,'800-555-1008');</v>
      </c>
    </row>
    <row r="63" spans="2:11" ht="15.6" x14ac:dyDescent="0.3">
      <c r="B63" s="6" t="s">
        <v>131</v>
      </c>
      <c r="C63" s="6">
        <v>9</v>
      </c>
      <c r="D63" s="10" t="s">
        <v>164</v>
      </c>
      <c r="E63" s="10" t="s">
        <v>165</v>
      </c>
      <c r="F63" s="10" t="s">
        <v>166</v>
      </c>
      <c r="G63" s="10">
        <v>4</v>
      </c>
      <c r="H63" s="10" t="s">
        <v>167</v>
      </c>
      <c r="K63" s="6" t="str">
        <f t="shared" si="3"/>
        <v>insert into Supplier values(9,'SilverStream Electronics','Drew King','drew.king@silverstream.com',4,'800-555-1009');</v>
      </c>
    </row>
    <row r="64" spans="2:11" ht="15.6" x14ac:dyDescent="0.3">
      <c r="B64" s="6" t="s">
        <v>131</v>
      </c>
      <c r="C64" s="6">
        <v>10</v>
      </c>
      <c r="D64" s="10" t="s">
        <v>168</v>
      </c>
      <c r="E64" s="10" t="s">
        <v>169</v>
      </c>
      <c r="F64" s="10" t="s">
        <v>170</v>
      </c>
      <c r="G64" s="10">
        <v>5</v>
      </c>
      <c r="H64" s="10" t="s">
        <v>171</v>
      </c>
      <c r="K64" s="6" t="str">
        <f t="shared" si="3"/>
        <v>insert into Supplier values(10,'BrightCircuit Global','Kendall Lane','kendall.lane@brightcircuit.com',5,'800-555-1010');</v>
      </c>
    </row>
    <row r="65" spans="2:11" ht="15.6" x14ac:dyDescent="0.3"/>
    <row r="66" spans="2:11" ht="15.6" x14ac:dyDescent="0.3">
      <c r="B66" s="1" t="s">
        <v>172</v>
      </c>
      <c r="C66" s="2" t="s">
        <v>173</v>
      </c>
      <c r="D66" s="3" t="s">
        <v>174</v>
      </c>
      <c r="E66" s="3" t="s">
        <v>175</v>
      </c>
      <c r="F66" s="3" t="s">
        <v>176</v>
      </c>
      <c r="G66" s="3" t="s">
        <v>177</v>
      </c>
    </row>
    <row r="67" spans="2:11" ht="15.6" x14ac:dyDescent="0.3">
      <c r="B67" s="6" t="s">
        <v>178</v>
      </c>
      <c r="C67" s="6">
        <v>1</v>
      </c>
      <c r="D67" s="10" t="s">
        <v>179</v>
      </c>
      <c r="E67" s="10" t="s">
        <v>180</v>
      </c>
      <c r="F67" s="10" t="s">
        <v>181</v>
      </c>
      <c r="G67" s="6" t="s">
        <v>182</v>
      </c>
      <c r="H67" s="13"/>
      <c r="K67" s="6" t="str">
        <f t="shared" ref="K67:K108" si="4">B67&amp;C67&amp;",'"&amp;D67&amp;"','"&amp;E67&amp;"','"&amp;F67&amp;"','"&amp;G67&amp;"');"</f>
        <v>insert into Customer values(1,'Liam','Carter','liam.carter@example.com','555-218-9043');</v>
      </c>
    </row>
    <row r="68" spans="2:11" ht="15.6" x14ac:dyDescent="0.3">
      <c r="B68" s="6" t="s">
        <v>178</v>
      </c>
      <c r="C68" s="6">
        <v>2</v>
      </c>
      <c r="D68" s="10" t="s">
        <v>183</v>
      </c>
      <c r="E68" s="10" t="s">
        <v>184</v>
      </c>
      <c r="F68" s="10" t="s">
        <v>185</v>
      </c>
      <c r="G68" s="6" t="s">
        <v>186</v>
      </c>
      <c r="H68" s="13"/>
      <c r="K68" s="6" t="str">
        <f t="shared" si="4"/>
        <v>insert into Customer values(2,'Emma','Reed','emma.reed@example.com','555-762-1189');</v>
      </c>
    </row>
    <row r="69" spans="2:11" ht="15.6" x14ac:dyDescent="0.3">
      <c r="B69" s="6" t="s">
        <v>178</v>
      </c>
      <c r="C69" s="6">
        <v>3</v>
      </c>
      <c r="D69" s="10" t="s">
        <v>187</v>
      </c>
      <c r="E69" s="10" t="s">
        <v>188</v>
      </c>
      <c r="F69" s="10" t="s">
        <v>189</v>
      </c>
      <c r="G69" s="6" t="s">
        <v>190</v>
      </c>
      <c r="H69" s="13"/>
      <c r="K69" s="6" t="str">
        <f t="shared" si="4"/>
        <v>insert into Customer values(3,'Noah','Mitchell','noah.mitchell@example.com','555-439-6702');</v>
      </c>
    </row>
    <row r="70" spans="2:11" ht="15.6" x14ac:dyDescent="0.3">
      <c r="B70" s="6" t="s">
        <v>178</v>
      </c>
      <c r="C70" s="6">
        <v>4</v>
      </c>
      <c r="D70" s="10" t="s">
        <v>191</v>
      </c>
      <c r="E70" s="10" t="s">
        <v>192</v>
      </c>
      <c r="F70" s="10" t="s">
        <v>193</v>
      </c>
      <c r="G70" s="6" t="s">
        <v>194</v>
      </c>
      <c r="H70" s="13"/>
      <c r="K70" s="6" t="str">
        <f t="shared" si="4"/>
        <v>insert into Customer values(4,'Ava','Ramirez','ava.ramirez@example.com','555-983-2417');</v>
      </c>
    </row>
    <row r="71" spans="2:11" ht="15.6" x14ac:dyDescent="0.3">
      <c r="B71" s="6" t="s">
        <v>178</v>
      </c>
      <c r="C71" s="6">
        <v>5</v>
      </c>
      <c r="D71" s="10" t="s">
        <v>195</v>
      </c>
      <c r="E71" s="10" t="s">
        <v>196</v>
      </c>
      <c r="F71" s="10" t="s">
        <v>197</v>
      </c>
      <c r="G71" s="6" t="s">
        <v>198</v>
      </c>
      <c r="H71" s="13"/>
      <c r="K71" s="6" t="str">
        <f t="shared" si="4"/>
        <v>insert into Customer values(5,'William','Hayes','william.hayes@example.com','555-640-5528');</v>
      </c>
    </row>
    <row r="72" spans="2:11" ht="15.6" x14ac:dyDescent="0.3">
      <c r="B72" s="6" t="s">
        <v>178</v>
      </c>
      <c r="C72" s="6">
        <v>6</v>
      </c>
      <c r="D72" s="10" t="s">
        <v>199</v>
      </c>
      <c r="E72" s="10" t="s">
        <v>200</v>
      </c>
      <c r="F72" s="10" t="s">
        <v>201</v>
      </c>
      <c r="G72" s="6" t="s">
        <v>202</v>
      </c>
      <c r="H72" s="13"/>
      <c r="K72" s="6" t="str">
        <f t="shared" si="4"/>
        <v>insert into Customer values(6,'Sophia','Bennett','sophia.bennett@example.com','555-774-6621');</v>
      </c>
    </row>
    <row r="73" spans="2:11" ht="15.6" x14ac:dyDescent="0.3">
      <c r="B73" s="6" t="s">
        <v>178</v>
      </c>
      <c r="C73" s="6">
        <v>7</v>
      </c>
      <c r="D73" s="10" t="s">
        <v>203</v>
      </c>
      <c r="E73" s="10" t="s">
        <v>204</v>
      </c>
      <c r="F73" s="10" t="s">
        <v>205</v>
      </c>
      <c r="G73" s="6" t="s">
        <v>206</v>
      </c>
      <c r="H73" s="13"/>
      <c r="K73" s="6" t="str">
        <f t="shared" si="4"/>
        <v>insert into Customer values(7,'James','Parker','james.parker@example.com','555-317-9084');</v>
      </c>
    </row>
    <row r="74" spans="2:11" ht="15.6" x14ac:dyDescent="0.3">
      <c r="B74" s="6" t="s">
        <v>178</v>
      </c>
      <c r="C74" s="6">
        <v>8</v>
      </c>
      <c r="D74" s="10" t="s">
        <v>207</v>
      </c>
      <c r="E74" s="10" t="s">
        <v>208</v>
      </c>
      <c r="F74" s="10" t="s">
        <v>209</v>
      </c>
      <c r="G74" s="6" t="s">
        <v>210</v>
      </c>
      <c r="H74" s="13"/>
      <c r="K74" s="6" t="str">
        <f t="shared" si="4"/>
        <v>insert into Customer values(8,'Isabella','Foster','isabella.foster@example.com','555-205-4498');</v>
      </c>
    </row>
    <row r="75" spans="2:11" ht="15.6" x14ac:dyDescent="0.3">
      <c r="B75" s="6" t="s">
        <v>178</v>
      </c>
      <c r="C75" s="6">
        <v>9</v>
      </c>
      <c r="D75" s="10" t="s">
        <v>211</v>
      </c>
      <c r="E75" s="10" t="s">
        <v>212</v>
      </c>
      <c r="F75" s="10" t="s">
        <v>213</v>
      </c>
      <c r="G75" s="6" t="s">
        <v>214</v>
      </c>
      <c r="H75" s="13"/>
      <c r="K75" s="6" t="str">
        <f t="shared" si="4"/>
        <v>insert into Customer values(9,'Elijah','Griffin','elijah.griffin@example.com','555-910-3374');</v>
      </c>
    </row>
    <row r="76" spans="2:11" ht="15.6" x14ac:dyDescent="0.3">
      <c r="B76" s="6" t="s">
        <v>178</v>
      </c>
      <c r="C76" s="6">
        <v>10</v>
      </c>
      <c r="D76" s="10" t="s">
        <v>215</v>
      </c>
      <c r="E76" s="10" t="s">
        <v>216</v>
      </c>
      <c r="F76" s="10" t="s">
        <v>217</v>
      </c>
      <c r="G76" s="6" t="s">
        <v>218</v>
      </c>
      <c r="H76" s="13"/>
      <c r="K76" s="6" t="str">
        <f t="shared" si="4"/>
        <v>insert into Customer values(10,'Mia','Sullivan','mia.sullivan@example.com','555-682-7940');</v>
      </c>
    </row>
    <row r="77" spans="2:11" ht="15.6" x14ac:dyDescent="0.3">
      <c r="B77" s="6" t="s">
        <v>178</v>
      </c>
      <c r="C77" s="6">
        <v>11</v>
      </c>
      <c r="D77" s="10" t="s">
        <v>219</v>
      </c>
      <c r="E77" s="10" t="s">
        <v>220</v>
      </c>
      <c r="F77" s="10" t="s">
        <v>221</v>
      </c>
      <c r="G77" s="6" t="s">
        <v>222</v>
      </c>
      <c r="H77" s="13"/>
      <c r="K77" s="6" t="str">
        <f t="shared" si="4"/>
        <v>insert into Customer values(11,'Logan','Barnes','logan.barnes@example.com','555-448-1206');</v>
      </c>
    </row>
    <row r="78" spans="2:11" ht="15.6" x14ac:dyDescent="0.3">
      <c r="B78" s="6" t="s">
        <v>178</v>
      </c>
      <c r="C78" s="6">
        <v>12</v>
      </c>
      <c r="D78" s="10" t="s">
        <v>223</v>
      </c>
      <c r="E78" s="10" t="s">
        <v>224</v>
      </c>
      <c r="F78" s="10" t="s">
        <v>225</v>
      </c>
      <c r="G78" s="6" t="s">
        <v>226</v>
      </c>
      <c r="H78" s="13"/>
      <c r="K78" s="6" t="str">
        <f t="shared" si="4"/>
        <v>insert into Customer values(12,'Harper','Cole','harper.cole@example.com','555-799-4523');</v>
      </c>
    </row>
    <row r="79" spans="2:11" ht="15.6" x14ac:dyDescent="0.3">
      <c r="B79" s="6" t="s">
        <v>178</v>
      </c>
      <c r="C79" s="6">
        <v>13</v>
      </c>
      <c r="D79" s="6" t="s">
        <v>227</v>
      </c>
      <c r="E79" s="6" t="s">
        <v>228</v>
      </c>
      <c r="F79" s="6" t="s">
        <v>229</v>
      </c>
      <c r="G79" s="6" t="s">
        <v>230</v>
      </c>
      <c r="K79" s="6" t="str">
        <f t="shared" si="4"/>
        <v>insert into Customer values(13,'Ethan','Turner','ethan.turner@example.com','555-214-9031');</v>
      </c>
    </row>
    <row r="80" spans="2:11" ht="15.6" x14ac:dyDescent="0.3">
      <c r="B80" s="6" t="s">
        <v>178</v>
      </c>
      <c r="C80" s="6">
        <v>14</v>
      </c>
      <c r="D80" s="6" t="s">
        <v>231</v>
      </c>
      <c r="E80" s="6" t="s">
        <v>232</v>
      </c>
      <c r="F80" s="6" t="s">
        <v>233</v>
      </c>
      <c r="G80" s="6" t="s">
        <v>234</v>
      </c>
      <c r="K80" s="6" t="str">
        <f t="shared" si="4"/>
        <v>insert into Customer values(14,'Olivia','Phillips','olivia.phillips@example.com','555-782-1194');</v>
      </c>
    </row>
    <row r="81" spans="2:11" ht="15.6" x14ac:dyDescent="0.3">
      <c r="B81" s="6" t="s">
        <v>178</v>
      </c>
      <c r="C81" s="6">
        <v>15</v>
      </c>
      <c r="D81" s="6" t="s">
        <v>235</v>
      </c>
      <c r="E81" s="6" t="s">
        <v>236</v>
      </c>
      <c r="F81" s="6" t="s">
        <v>237</v>
      </c>
      <c r="G81" s="6" t="s">
        <v>238</v>
      </c>
      <c r="K81" s="6" t="str">
        <f t="shared" si="4"/>
        <v>insert into Customer values(15,'Mason','Howard','mason.howard@example.com','555-439-6728');</v>
      </c>
    </row>
    <row r="82" spans="2:11" ht="15.6" x14ac:dyDescent="0.3">
      <c r="B82" s="6" t="s">
        <v>178</v>
      </c>
      <c r="C82" s="6">
        <v>16</v>
      </c>
      <c r="D82" s="6" t="s">
        <v>239</v>
      </c>
      <c r="E82" s="6" t="s">
        <v>240</v>
      </c>
      <c r="F82" s="6" t="s">
        <v>241</v>
      </c>
      <c r="G82" s="6" t="s">
        <v>242</v>
      </c>
      <c r="K82" s="6" t="str">
        <f t="shared" si="4"/>
        <v>insert into Customer values(16,'Charlotte','Ward','charlotte.ward@example.com','555-983-2475');</v>
      </c>
    </row>
    <row r="83" spans="2:11" ht="15.6" x14ac:dyDescent="0.3">
      <c r="B83" s="6" t="s">
        <v>178</v>
      </c>
      <c r="C83" s="6">
        <v>17</v>
      </c>
      <c r="D83" s="6" t="s">
        <v>243</v>
      </c>
      <c r="E83" s="6" t="s">
        <v>244</v>
      </c>
      <c r="F83" s="6" t="s">
        <v>245</v>
      </c>
      <c r="G83" s="6" t="s">
        <v>246</v>
      </c>
      <c r="K83" s="6" t="str">
        <f t="shared" si="4"/>
        <v>insert into Customer values(17,'Lucas','Torres','lucas.torres@example.com','555-640-5582');</v>
      </c>
    </row>
    <row r="84" spans="2:11" ht="15.6" x14ac:dyDescent="0.3">
      <c r="B84" s="6" t="s">
        <v>178</v>
      </c>
      <c r="C84" s="6">
        <v>18</v>
      </c>
      <c r="D84" s="6" t="s">
        <v>247</v>
      </c>
      <c r="E84" s="6" t="s">
        <v>248</v>
      </c>
      <c r="F84" s="6" t="s">
        <v>249</v>
      </c>
      <c r="G84" s="6" t="s">
        <v>250</v>
      </c>
      <c r="K84" s="6" t="str">
        <f t="shared" si="4"/>
        <v>insert into Customer values(18,'Amelia','Peterson','amelia.peterson@example.com','555-774-6639');</v>
      </c>
    </row>
    <row r="85" spans="2:11" ht="15.6" x14ac:dyDescent="0.3">
      <c r="B85" s="6" t="s">
        <v>178</v>
      </c>
      <c r="C85" s="6">
        <v>19</v>
      </c>
      <c r="D85" s="6" t="s">
        <v>251</v>
      </c>
      <c r="E85" s="6" t="s">
        <v>252</v>
      </c>
      <c r="F85" s="6" t="s">
        <v>253</v>
      </c>
      <c r="G85" s="6" t="s">
        <v>254</v>
      </c>
      <c r="K85" s="6" t="str">
        <f t="shared" si="4"/>
        <v>insert into Customer values(19,'Henry','Gray','henry.gray@example.com','555-317-9072');</v>
      </c>
    </row>
    <row r="86" spans="2:11" ht="15.6" x14ac:dyDescent="0.3">
      <c r="B86" s="6" t="s">
        <v>178</v>
      </c>
      <c r="C86" s="6">
        <v>20</v>
      </c>
      <c r="D86" s="6" t="s">
        <v>255</v>
      </c>
      <c r="E86" s="6" t="s">
        <v>256</v>
      </c>
      <c r="F86" s="6" t="s">
        <v>257</v>
      </c>
      <c r="G86" s="6" t="s">
        <v>258</v>
      </c>
      <c r="K86" s="6" t="str">
        <f t="shared" si="4"/>
        <v>insert into Customer values(20,'Evelyn','Ramsey','evelyn.ramsey@example.com','555-205-4481');</v>
      </c>
    </row>
    <row r="87" spans="2:11" ht="15.6" x14ac:dyDescent="0.3">
      <c r="B87" s="6" t="s">
        <v>178</v>
      </c>
      <c r="C87" s="6">
        <v>21</v>
      </c>
      <c r="D87" s="6" t="s">
        <v>259</v>
      </c>
      <c r="E87" s="6" t="s">
        <v>203</v>
      </c>
      <c r="F87" s="6" t="s">
        <v>260</v>
      </c>
      <c r="G87" s="6" t="s">
        <v>261</v>
      </c>
      <c r="K87" s="6" t="str">
        <f t="shared" si="4"/>
        <v>insert into Customer values(21,'Alexander','James','alexander.james@example.com','555-910-3379');</v>
      </c>
    </row>
    <row r="88" spans="2:11" ht="15.6" x14ac:dyDescent="0.3">
      <c r="B88" s="6" t="s">
        <v>178</v>
      </c>
      <c r="C88" s="6">
        <v>22</v>
      </c>
      <c r="D88" s="6" t="s">
        <v>262</v>
      </c>
      <c r="E88" s="6" t="s">
        <v>263</v>
      </c>
      <c r="F88" s="6" t="s">
        <v>264</v>
      </c>
      <c r="G88" s="6" t="s">
        <v>265</v>
      </c>
      <c r="K88" s="6" t="str">
        <f t="shared" si="4"/>
        <v>insert into Customer values(22,'Abigail','Hughes','abigail.hughes@example.com','555-682-7954');</v>
      </c>
    </row>
    <row r="89" spans="2:11" ht="15.6" x14ac:dyDescent="0.3">
      <c r="B89" s="6" t="s">
        <v>178</v>
      </c>
      <c r="C89" s="6">
        <v>23</v>
      </c>
      <c r="D89" s="6" t="s">
        <v>266</v>
      </c>
      <c r="E89" s="6" t="s">
        <v>267</v>
      </c>
      <c r="F89" s="6" t="s">
        <v>268</v>
      </c>
      <c r="G89" s="6" t="s">
        <v>269</v>
      </c>
      <c r="K89" s="6" t="str">
        <f t="shared" si="4"/>
        <v>insert into Customer values(23,'Daniel','Butler','daniel.butler@example.com','555-448-1273');</v>
      </c>
    </row>
    <row r="90" spans="2:11" ht="15.6" x14ac:dyDescent="0.3">
      <c r="B90" s="6" t="s">
        <v>178</v>
      </c>
      <c r="C90" s="6">
        <v>24</v>
      </c>
      <c r="D90" s="6" t="s">
        <v>270</v>
      </c>
      <c r="E90" s="6" t="s">
        <v>271</v>
      </c>
      <c r="F90" s="6" t="s">
        <v>272</v>
      </c>
      <c r="G90" s="6" t="s">
        <v>273</v>
      </c>
      <c r="K90" s="6" t="str">
        <f t="shared" si="4"/>
        <v>insert into Customer values(24,'Ella','Simmons','ella.simmons@example.com','555-799-4518');</v>
      </c>
    </row>
    <row r="91" spans="2:11" ht="15.6" x14ac:dyDescent="0.3">
      <c r="B91" s="6" t="s">
        <v>178</v>
      </c>
      <c r="C91" s="6">
        <v>25</v>
      </c>
      <c r="D91" s="6" t="s">
        <v>274</v>
      </c>
      <c r="E91" s="6" t="s">
        <v>208</v>
      </c>
      <c r="F91" s="6" t="s">
        <v>275</v>
      </c>
      <c r="G91" s="6" t="s">
        <v>276</v>
      </c>
      <c r="K91" s="6" t="str">
        <f t="shared" si="4"/>
        <v>insert into Customer values(25,'Matthew','Foster','matthew.foster@example.com','555-910-0048');</v>
      </c>
    </row>
    <row r="92" spans="2:11" ht="15.6" x14ac:dyDescent="0.3">
      <c r="B92" s="6" t="s">
        <v>178</v>
      </c>
      <c r="C92" s="6">
        <v>26</v>
      </c>
      <c r="D92" s="6" t="s">
        <v>277</v>
      </c>
      <c r="E92" s="6" t="s">
        <v>278</v>
      </c>
      <c r="F92" s="6" t="s">
        <v>279</v>
      </c>
      <c r="G92" s="6" t="s">
        <v>280</v>
      </c>
      <c r="K92" s="6" t="str">
        <f t="shared" si="4"/>
        <v>insert into Customer values(26,'Scarlett','Gonzalez','scarlett.gonzalez@example.com','555-910-1186');</v>
      </c>
    </row>
    <row r="93" spans="2:11" ht="15.6" x14ac:dyDescent="0.3">
      <c r="B93" s="6" t="s">
        <v>178</v>
      </c>
      <c r="C93" s="6">
        <v>27</v>
      </c>
      <c r="D93" s="6" t="s">
        <v>281</v>
      </c>
      <c r="E93" s="6" t="s">
        <v>282</v>
      </c>
      <c r="F93" s="6" t="s">
        <v>283</v>
      </c>
      <c r="G93" s="6" t="s">
        <v>284</v>
      </c>
      <c r="K93" s="6" t="str">
        <f t="shared" si="4"/>
        <v>insert into Customer values(27,'Joseph','Bryant','joseph.bryant@example.com','555-910-2284');</v>
      </c>
    </row>
    <row r="94" spans="2:11" ht="15.6" x14ac:dyDescent="0.3">
      <c r="B94" s="6" t="s">
        <v>178</v>
      </c>
      <c r="C94" s="6">
        <v>28</v>
      </c>
      <c r="D94" s="6" t="s">
        <v>285</v>
      </c>
      <c r="E94" s="6" t="s">
        <v>259</v>
      </c>
      <c r="F94" s="6" t="s">
        <v>286</v>
      </c>
      <c r="G94" s="6" t="s">
        <v>287</v>
      </c>
      <c r="K94" s="6" t="str">
        <f t="shared" si="4"/>
        <v>insert into Customer values(28,'Grace','Alexander','grace.alexander@example.com','555-910-3371');</v>
      </c>
    </row>
    <row r="95" spans="2:11" ht="15.6" x14ac:dyDescent="0.3">
      <c r="B95" s="6" t="s">
        <v>178</v>
      </c>
      <c r="C95" s="6">
        <v>29</v>
      </c>
      <c r="D95" s="6" t="s">
        <v>288</v>
      </c>
      <c r="E95" s="6" t="s">
        <v>289</v>
      </c>
      <c r="F95" s="6" t="s">
        <v>290</v>
      </c>
      <c r="G95" s="6" t="s">
        <v>291</v>
      </c>
      <c r="K95" s="6" t="str">
        <f t="shared" si="4"/>
        <v>insert into Customer values(29,'David','Russell','david.russell@example.com','555-910-4487');</v>
      </c>
    </row>
    <row r="96" spans="2:11" ht="15.6" x14ac:dyDescent="0.3">
      <c r="B96" s="6" t="s">
        <v>178</v>
      </c>
      <c r="C96" s="6">
        <v>30</v>
      </c>
      <c r="D96" s="6" t="s">
        <v>292</v>
      </c>
      <c r="E96" s="6" t="s">
        <v>212</v>
      </c>
      <c r="F96" s="6" t="s">
        <v>293</v>
      </c>
      <c r="G96" s="6" t="s">
        <v>294</v>
      </c>
      <c r="K96" s="6" t="str">
        <f t="shared" si="4"/>
        <v>insert into Customer values(30,'Chloe','Griffin','chloe.griffin@example.com','555-910-5529');</v>
      </c>
    </row>
    <row r="97" spans="2:11" ht="15.6" x14ac:dyDescent="0.3">
      <c r="B97" s="6" t="s">
        <v>178</v>
      </c>
      <c r="C97" s="6">
        <v>31</v>
      </c>
      <c r="D97" s="6" t="s">
        <v>295</v>
      </c>
      <c r="E97" s="6" t="s">
        <v>296</v>
      </c>
      <c r="F97" s="6" t="s">
        <v>297</v>
      </c>
      <c r="G97" s="6" t="s">
        <v>298</v>
      </c>
      <c r="K97" s="6" t="str">
        <f t="shared" si="4"/>
        <v>insert into Customer values(31,'Wyatt','Diaz','wyatt.diaz@example.com','555-910-6674');</v>
      </c>
    </row>
    <row r="98" spans="2:11" ht="15.6" x14ac:dyDescent="0.3">
      <c r="B98" s="6" t="s">
        <v>178</v>
      </c>
      <c r="C98" s="6">
        <v>32</v>
      </c>
      <c r="D98" s="6" t="s">
        <v>299</v>
      </c>
      <c r="E98" s="6" t="s">
        <v>196</v>
      </c>
      <c r="F98" s="6" t="s">
        <v>300</v>
      </c>
      <c r="G98" s="6" t="s">
        <v>301</v>
      </c>
      <c r="K98" s="6" t="str">
        <f t="shared" si="4"/>
        <v>insert into Customer values(32,'Zoey','Hayes','zoey.hayes@example.com','555-910-7742');</v>
      </c>
    </row>
    <row r="99" spans="2:11" ht="15.6" x14ac:dyDescent="0.3">
      <c r="B99" s="6" t="s">
        <v>178</v>
      </c>
      <c r="C99" s="6">
        <v>33</v>
      </c>
      <c r="D99" s="6" t="s">
        <v>302</v>
      </c>
      <c r="E99" s="6" t="s">
        <v>303</v>
      </c>
      <c r="F99" s="6" t="s">
        <v>304</v>
      </c>
      <c r="G99" s="6" t="s">
        <v>305</v>
      </c>
      <c r="K99" s="6" t="str">
        <f t="shared" si="4"/>
        <v>insert into Customer values(33,'Aiden','Walker','aiden.walker@example.com','555-910-8812');</v>
      </c>
    </row>
    <row r="100" spans="2:11" ht="15.6" x14ac:dyDescent="0.3">
      <c r="B100" s="6" t="s">
        <v>178</v>
      </c>
      <c r="C100" s="6">
        <v>34</v>
      </c>
      <c r="D100" s="6" t="s">
        <v>306</v>
      </c>
      <c r="E100" s="6" t="s">
        <v>307</v>
      </c>
      <c r="F100" s="6" t="s">
        <v>308</v>
      </c>
      <c r="G100" s="6" t="s">
        <v>309</v>
      </c>
      <c r="K100" s="6" t="str">
        <f t="shared" si="4"/>
        <v>insert into Customer values(34,'Nora','Cunningham','nora.cunningham@example.com','555-910-7746');</v>
      </c>
    </row>
    <row r="101" spans="2:11" ht="15.6" x14ac:dyDescent="0.3">
      <c r="B101" s="6" t="s">
        <v>178</v>
      </c>
      <c r="C101" s="6">
        <v>35</v>
      </c>
      <c r="D101" s="6" t="s">
        <v>310</v>
      </c>
      <c r="E101" s="6" t="s">
        <v>311</v>
      </c>
      <c r="F101" s="6" t="s">
        <v>312</v>
      </c>
      <c r="G101" s="6" t="s">
        <v>313</v>
      </c>
      <c r="K101" s="6" t="str">
        <f t="shared" si="4"/>
        <v>insert into Customer values(35,'Caleb','Henderson','caleb.henderson@example.com','555-910-6638');</v>
      </c>
    </row>
    <row r="102" spans="2:11" ht="15.6" x14ac:dyDescent="0.3">
      <c r="B102" s="6" t="s">
        <v>178</v>
      </c>
      <c r="C102" s="6">
        <v>36</v>
      </c>
      <c r="D102" s="6" t="s">
        <v>314</v>
      </c>
      <c r="E102" s="6" t="s">
        <v>315</v>
      </c>
      <c r="F102" s="6" t="s">
        <v>316</v>
      </c>
      <c r="G102" s="6" t="s">
        <v>317</v>
      </c>
      <c r="K102" s="6" t="str">
        <f t="shared" si="4"/>
        <v>insert into Customer values(36,'Lily','Murphy','lily.murphy@example.com','555-910-5524');</v>
      </c>
    </row>
    <row r="103" spans="2:11" ht="15.6" x14ac:dyDescent="0.3">
      <c r="B103" s="6" t="s">
        <v>178</v>
      </c>
      <c r="C103" s="6">
        <v>37</v>
      </c>
      <c r="D103" s="6" t="s">
        <v>318</v>
      </c>
      <c r="E103" s="6" t="s">
        <v>319</v>
      </c>
      <c r="F103" s="6" t="s">
        <v>320</v>
      </c>
      <c r="G103" s="6" t="s">
        <v>321</v>
      </c>
      <c r="K103" s="6" t="str">
        <f t="shared" si="4"/>
        <v>insert into Customer values(37,'Julian','Reeves','julian.reeves@example.com','555-910-4492');</v>
      </c>
    </row>
    <row r="104" spans="2:11" ht="15.6" x14ac:dyDescent="0.3">
      <c r="B104" s="6" t="s">
        <v>178</v>
      </c>
      <c r="C104" s="6">
        <v>38</v>
      </c>
      <c r="D104" s="6" t="s">
        <v>322</v>
      </c>
      <c r="E104" s="6" t="s">
        <v>323</v>
      </c>
      <c r="F104" s="6" t="s">
        <v>324</v>
      </c>
      <c r="G104" s="6" t="s">
        <v>325</v>
      </c>
      <c r="K104" s="6" t="str">
        <f t="shared" si="4"/>
        <v>insert into Customer values(38,'Aria','Douglas','aria.douglas@example.com','555-910-3381');</v>
      </c>
    </row>
    <row r="105" spans="2:11" ht="15.6" x14ac:dyDescent="0.3">
      <c r="B105" s="6" t="s">
        <v>178</v>
      </c>
      <c r="C105" s="6">
        <v>39</v>
      </c>
      <c r="D105" s="6" t="s">
        <v>326</v>
      </c>
      <c r="E105" s="6" t="s">
        <v>327</v>
      </c>
      <c r="F105" s="6" t="s">
        <v>328</v>
      </c>
      <c r="G105" s="6" t="s">
        <v>329</v>
      </c>
      <c r="K105" s="6" t="str">
        <f t="shared" si="4"/>
        <v>insert into Customer values(39,'Mateo','Keller','mateo.keller@example.com','555-910-2290');</v>
      </c>
    </row>
    <row r="106" spans="2:11" ht="15.6" x14ac:dyDescent="0.3">
      <c r="B106" s="6" t="s">
        <v>178</v>
      </c>
      <c r="C106" s="6">
        <v>40</v>
      </c>
      <c r="D106" s="6" t="s">
        <v>330</v>
      </c>
      <c r="E106" s="6" t="s">
        <v>331</v>
      </c>
      <c r="F106" s="6" t="s">
        <v>332</v>
      </c>
      <c r="G106" s="6" t="s">
        <v>333</v>
      </c>
      <c r="K106" s="6" t="str">
        <f t="shared" si="4"/>
        <v>insert into Customer values(40,'Zoe','Harrington','zoe.harrington@example.com','555-910-1185');</v>
      </c>
    </row>
    <row r="107" spans="2:11" ht="15.6" x14ac:dyDescent="0.3">
      <c r="B107" s="6" t="s">
        <v>178</v>
      </c>
      <c r="C107" s="6">
        <v>41</v>
      </c>
      <c r="D107" s="6" t="s">
        <v>334</v>
      </c>
      <c r="E107" s="6" t="s">
        <v>335</v>
      </c>
      <c r="F107" s="6" t="s">
        <v>336</v>
      </c>
      <c r="G107" s="6" t="s">
        <v>337</v>
      </c>
      <c r="K107" s="6" t="str">
        <f t="shared" si="4"/>
        <v>insert into Customer values(41,'Isaac','Stevens','isaac.stevens@example.com','555-910-0079');</v>
      </c>
    </row>
    <row r="108" spans="2:11" ht="15.6" x14ac:dyDescent="0.3">
      <c r="B108" s="6" t="s">
        <v>178</v>
      </c>
      <c r="C108" s="6">
        <v>42</v>
      </c>
      <c r="D108" s="6" t="s">
        <v>338</v>
      </c>
      <c r="E108" s="6" t="s">
        <v>339</v>
      </c>
      <c r="F108" s="6" t="s">
        <v>340</v>
      </c>
      <c r="G108" s="6" t="s">
        <v>341</v>
      </c>
      <c r="K108" s="6" t="str">
        <f t="shared" si="4"/>
        <v>insert into Customer values(42,'Penelope','Gordon','penelope.gordon@example.com','555-910-5563');</v>
      </c>
    </row>
    <row r="109" spans="2:11" ht="15.6" x14ac:dyDescent="0.3"/>
    <row r="110" spans="2:11" ht="15.6" x14ac:dyDescent="0.3"/>
    <row r="111" spans="2:11" ht="15.6" x14ac:dyDescent="0.3">
      <c r="B111" s="1" t="s">
        <v>342</v>
      </c>
      <c r="C111" s="2" t="s">
        <v>343</v>
      </c>
      <c r="D111" s="4" t="s">
        <v>173</v>
      </c>
      <c r="E111" s="3" t="s">
        <v>344</v>
      </c>
      <c r="F111" s="3"/>
      <c r="G111" s="3" t="s">
        <v>345</v>
      </c>
      <c r="H111" s="3" t="s">
        <v>346</v>
      </c>
      <c r="I111" s="3" t="s">
        <v>347</v>
      </c>
      <c r="J111" s="3" t="s">
        <v>348</v>
      </c>
    </row>
    <row r="112" spans="2:11" ht="15.6" x14ac:dyDescent="0.3">
      <c r="B112" s="6" t="s">
        <v>349</v>
      </c>
      <c r="C112" s="6">
        <v>101</v>
      </c>
      <c r="D112" s="6">
        <v>1</v>
      </c>
      <c r="E112" s="6" t="s">
        <v>350</v>
      </c>
      <c r="G112" s="6" t="s">
        <v>351</v>
      </c>
      <c r="H112" s="6" t="s">
        <v>352</v>
      </c>
      <c r="I112" s="6">
        <v>38655</v>
      </c>
      <c r="J112" s="6" t="s">
        <v>12</v>
      </c>
      <c r="K112" s="6" t="str">
        <f t="shared" ref="K112:K153" si="5">B112&amp;C112&amp;","&amp;D112&amp;",'"&amp;E112&amp;"','"&amp;G112&amp;"','"&amp;H112&amp;"','"&amp;I112&amp;"','"&amp;J112&amp;"');"</f>
        <v>insert into Customer_Address values(101,1,'214 Magnolia Lane','Oxford','MS','38655','USA');</v>
      </c>
    </row>
    <row r="113" spans="2:11" ht="15.6" x14ac:dyDescent="0.3">
      <c r="B113" s="6" t="s">
        <v>349</v>
      </c>
      <c r="C113" s="6">
        <v>102</v>
      </c>
      <c r="D113" s="6">
        <v>2</v>
      </c>
      <c r="E113" s="6" t="s">
        <v>353</v>
      </c>
      <c r="G113" s="6" t="s">
        <v>351</v>
      </c>
      <c r="H113" s="6" t="s">
        <v>352</v>
      </c>
      <c r="I113" s="6">
        <v>38655</v>
      </c>
      <c r="J113" s="6" t="s">
        <v>12</v>
      </c>
      <c r="K113" s="6" t="str">
        <f t="shared" si="5"/>
        <v>insert into Customer_Address values(102,2,'587 Rebel Drive','Oxford','MS','38655','USA');</v>
      </c>
    </row>
    <row r="114" spans="2:11" ht="15.6" x14ac:dyDescent="0.3">
      <c r="B114" s="6" t="s">
        <v>349</v>
      </c>
      <c r="C114" s="6">
        <v>103</v>
      </c>
      <c r="D114" s="6">
        <v>3</v>
      </c>
      <c r="E114" s="6" t="s">
        <v>354</v>
      </c>
      <c r="G114" s="6" t="s">
        <v>351</v>
      </c>
      <c r="H114" s="6" t="s">
        <v>352</v>
      </c>
      <c r="I114" s="6">
        <v>38655</v>
      </c>
      <c r="J114" s="6" t="s">
        <v>12</v>
      </c>
      <c r="K114" s="6" t="str">
        <f t="shared" si="5"/>
        <v>insert into Customer_Address values(103,3,'1020 Jefferson Avenue','Oxford','MS','38655','USA');</v>
      </c>
    </row>
    <row r="115" spans="2:11" ht="15.6" x14ac:dyDescent="0.3">
      <c r="B115" s="6" t="s">
        <v>349</v>
      </c>
      <c r="C115" s="6">
        <v>104</v>
      </c>
      <c r="D115" s="6">
        <v>4</v>
      </c>
      <c r="E115" s="6" t="s">
        <v>355</v>
      </c>
      <c r="G115" s="6" t="s">
        <v>351</v>
      </c>
      <c r="H115" s="6" t="s">
        <v>352</v>
      </c>
      <c r="I115" s="6">
        <v>38655</v>
      </c>
      <c r="J115" s="6" t="s">
        <v>12</v>
      </c>
      <c r="K115" s="6" t="str">
        <f t="shared" si="5"/>
        <v>insert into Customer_Address values(104,4,'341 Old Taylor Road','Oxford','MS','38655','USA');</v>
      </c>
    </row>
    <row r="116" spans="2:11" ht="15.6" x14ac:dyDescent="0.3">
      <c r="B116" s="6" t="s">
        <v>349</v>
      </c>
      <c r="C116" s="6">
        <v>105</v>
      </c>
      <c r="D116" s="6">
        <v>5</v>
      </c>
      <c r="E116" s="6" t="s">
        <v>356</v>
      </c>
      <c r="G116" s="6" t="s">
        <v>351</v>
      </c>
      <c r="H116" s="6" t="s">
        <v>352</v>
      </c>
      <c r="I116" s="6">
        <v>38655</v>
      </c>
      <c r="J116" s="6" t="s">
        <v>12</v>
      </c>
      <c r="K116" s="6" t="str">
        <f t="shared" si="5"/>
        <v>insert into Customer_Address values(105,5,'755 Maple Grove Way','Oxford','MS','38655','USA');</v>
      </c>
    </row>
    <row r="117" spans="2:11" ht="15.6" x14ac:dyDescent="0.3">
      <c r="B117" s="6" t="s">
        <v>349</v>
      </c>
      <c r="C117" s="6">
        <v>106</v>
      </c>
      <c r="D117" s="6">
        <v>6</v>
      </c>
      <c r="E117" s="6" t="s">
        <v>357</v>
      </c>
      <c r="G117" s="6" t="s">
        <v>351</v>
      </c>
      <c r="H117" s="6" t="s">
        <v>352</v>
      </c>
      <c r="I117" s="6">
        <v>38655</v>
      </c>
      <c r="J117" s="6" t="s">
        <v>12</v>
      </c>
      <c r="K117" s="6" t="str">
        <f t="shared" si="5"/>
        <v>insert into Customer_Address values(106,6,'128 Creekwood Bend','Oxford','MS','38655','USA');</v>
      </c>
    </row>
    <row r="118" spans="2:11" ht="15.6" x14ac:dyDescent="0.3">
      <c r="B118" s="6" t="s">
        <v>349</v>
      </c>
      <c r="C118" s="6">
        <v>107</v>
      </c>
      <c r="D118" s="6">
        <v>7</v>
      </c>
      <c r="E118" s="6" t="s">
        <v>358</v>
      </c>
      <c r="G118" s="6" t="s">
        <v>351</v>
      </c>
      <c r="H118" s="6" t="s">
        <v>352</v>
      </c>
      <c r="I118" s="6">
        <v>38655</v>
      </c>
      <c r="J118" s="6" t="s">
        <v>12</v>
      </c>
      <c r="K118" s="6" t="str">
        <f t="shared" si="5"/>
        <v>insert into Customer_Address values(107,7,'912 College Hill Road','Oxford','MS','38655','USA');</v>
      </c>
    </row>
    <row r="119" spans="2:11" ht="15.6" x14ac:dyDescent="0.3">
      <c r="B119" s="6" t="s">
        <v>349</v>
      </c>
      <c r="C119" s="6">
        <v>108</v>
      </c>
      <c r="D119" s="6">
        <v>8</v>
      </c>
      <c r="E119" s="6" t="s">
        <v>359</v>
      </c>
      <c r="G119" s="6" t="s">
        <v>351</v>
      </c>
      <c r="H119" s="6" t="s">
        <v>352</v>
      </c>
      <c r="I119" s="6">
        <v>38655</v>
      </c>
      <c r="J119" s="6" t="s">
        <v>12</v>
      </c>
      <c r="K119" s="6" t="str">
        <f t="shared" si="5"/>
        <v>insert into Customer_Address values(108,8,'467 Oak Ridge Loop','Oxford','MS','38655','USA');</v>
      </c>
    </row>
    <row r="120" spans="2:11" ht="15.6" x14ac:dyDescent="0.3">
      <c r="B120" s="6" t="s">
        <v>349</v>
      </c>
      <c r="C120" s="6">
        <v>109</v>
      </c>
      <c r="D120" s="6">
        <v>9</v>
      </c>
      <c r="E120" s="6" t="s">
        <v>360</v>
      </c>
      <c r="G120" s="6" t="s">
        <v>351</v>
      </c>
      <c r="H120" s="6" t="s">
        <v>352</v>
      </c>
      <c r="I120" s="6">
        <v>38655</v>
      </c>
      <c r="J120" s="6" t="s">
        <v>12</v>
      </c>
      <c r="K120" s="6" t="str">
        <f t="shared" si="5"/>
        <v>insert into Customer_Address values(109,9,'233 Pinehurst Cove ','Oxford','MS','38655','USA');</v>
      </c>
    </row>
    <row r="121" spans="2:11" ht="15.6" x14ac:dyDescent="0.3">
      <c r="B121" s="6" t="s">
        <v>349</v>
      </c>
      <c r="C121" s="6">
        <v>110</v>
      </c>
      <c r="D121" s="6">
        <v>10</v>
      </c>
      <c r="E121" s="6" t="s">
        <v>361</v>
      </c>
      <c r="G121" s="6" t="s">
        <v>351</v>
      </c>
      <c r="H121" s="6" t="s">
        <v>352</v>
      </c>
      <c r="I121" s="6">
        <v>38655</v>
      </c>
      <c r="J121" s="6" t="s">
        <v>12</v>
      </c>
      <c r="K121" s="6" t="str">
        <f t="shared" si="5"/>
        <v>insert into Customer_Address values(110,10,'621 Fraternity Row ','Oxford','MS','38655','USA');</v>
      </c>
    </row>
    <row r="122" spans="2:11" ht="15.6" x14ac:dyDescent="0.3">
      <c r="B122" s="6" t="s">
        <v>349</v>
      </c>
      <c r="C122" s="6">
        <v>111</v>
      </c>
      <c r="D122" s="6">
        <v>11</v>
      </c>
      <c r="E122" s="6" t="s">
        <v>362</v>
      </c>
      <c r="G122" s="6" t="s">
        <v>351</v>
      </c>
      <c r="H122" s="6" t="s">
        <v>352</v>
      </c>
      <c r="I122" s="6">
        <v>38655</v>
      </c>
      <c r="J122" s="6" t="s">
        <v>12</v>
      </c>
      <c r="K122" s="6" t="str">
        <f t="shared" si="5"/>
        <v>insert into Customer_Address values(111,11,'889 Sorority Row','Oxford','MS','38655','USA');</v>
      </c>
    </row>
    <row r="123" spans="2:11" ht="15.6" x14ac:dyDescent="0.3">
      <c r="B123" s="6" t="s">
        <v>349</v>
      </c>
      <c r="C123" s="6">
        <v>112</v>
      </c>
      <c r="D123" s="6">
        <v>12</v>
      </c>
      <c r="E123" s="6" t="s">
        <v>363</v>
      </c>
      <c r="G123" s="6" t="s">
        <v>351</v>
      </c>
      <c r="H123" s="6" t="s">
        <v>352</v>
      </c>
      <c r="I123" s="6">
        <v>38655</v>
      </c>
      <c r="J123" s="6" t="s">
        <v>12</v>
      </c>
      <c r="K123" s="6" t="str">
        <f t="shared" si="5"/>
        <v>insert into Customer_Address values(112,12,'304 Jackson Avenue East','Oxford','MS','38655','USA');</v>
      </c>
    </row>
    <row r="124" spans="2:11" ht="15.6" x14ac:dyDescent="0.3">
      <c r="B124" s="6" t="s">
        <v>349</v>
      </c>
      <c r="C124" s="6">
        <v>113</v>
      </c>
      <c r="D124" s="6">
        <v>13</v>
      </c>
      <c r="E124" s="6" t="s">
        <v>364</v>
      </c>
      <c r="G124" s="6" t="s">
        <v>351</v>
      </c>
      <c r="H124" s="6" t="s">
        <v>352</v>
      </c>
      <c r="I124" s="6">
        <v>38656</v>
      </c>
      <c r="J124" s="6" t="s">
        <v>12</v>
      </c>
      <c r="K124" s="6" t="str">
        <f t="shared" si="5"/>
        <v>insert into Customer_Address values(113,13,'1427 Silver Ridge Court','Oxford','MS','38656','USA');</v>
      </c>
    </row>
    <row r="125" spans="2:11" ht="15.6" x14ac:dyDescent="0.3">
      <c r="B125" s="6" t="s">
        <v>349</v>
      </c>
      <c r="C125" s="6">
        <v>114</v>
      </c>
      <c r="D125" s="6">
        <v>14</v>
      </c>
      <c r="E125" s="6" t="s">
        <v>365</v>
      </c>
      <c r="G125" s="6" t="s">
        <v>351</v>
      </c>
      <c r="H125" s="6" t="s">
        <v>352</v>
      </c>
      <c r="I125" s="6">
        <v>38657</v>
      </c>
      <c r="J125" s="6" t="s">
        <v>12</v>
      </c>
      <c r="K125" s="6" t="str">
        <f t="shared" si="5"/>
        <v>insert into Customer_Address values(114,14,'908 Willow Bend Parkway','Oxford','MS','38657','USA');</v>
      </c>
    </row>
    <row r="126" spans="2:11" ht="15.6" x14ac:dyDescent="0.3">
      <c r="B126" s="6" t="s">
        <v>349</v>
      </c>
      <c r="C126" s="6">
        <v>115</v>
      </c>
      <c r="D126" s="6">
        <v>15</v>
      </c>
      <c r="E126" s="6" t="s">
        <v>366</v>
      </c>
      <c r="G126" s="6" t="s">
        <v>351</v>
      </c>
      <c r="H126" s="6" t="s">
        <v>352</v>
      </c>
      <c r="I126" s="6">
        <v>38658</v>
      </c>
      <c r="J126" s="6" t="s">
        <v>12</v>
      </c>
      <c r="K126" s="6" t="str">
        <f t="shared" si="5"/>
        <v>insert into Customer_Address values(115,15,'2218 Oak Hollow Terrace','Oxford','MS','38658','USA');</v>
      </c>
    </row>
    <row r="127" spans="2:11" ht="15.6" x14ac:dyDescent="0.3">
      <c r="B127" s="6" t="s">
        <v>349</v>
      </c>
      <c r="C127" s="6">
        <v>116</v>
      </c>
      <c r="D127" s="6">
        <v>16</v>
      </c>
      <c r="E127" s="6" t="s">
        <v>367</v>
      </c>
      <c r="G127" s="6" t="s">
        <v>351</v>
      </c>
      <c r="H127" s="6" t="s">
        <v>352</v>
      </c>
      <c r="I127" s="6">
        <v>38659</v>
      </c>
      <c r="J127" s="6" t="s">
        <v>12</v>
      </c>
      <c r="K127" s="6" t="str">
        <f t="shared" si="5"/>
        <v>insert into Customer_Address values(116,16,'567 Maple Ledge Drive','Oxford','MS','38659','USA');</v>
      </c>
    </row>
    <row r="128" spans="2:11" ht="15.6" x14ac:dyDescent="0.3">
      <c r="B128" s="6" t="s">
        <v>349</v>
      </c>
      <c r="C128" s="6">
        <v>117</v>
      </c>
      <c r="D128" s="6">
        <v>17</v>
      </c>
      <c r="E128" s="6" t="s">
        <v>368</v>
      </c>
      <c r="G128" s="6" t="s">
        <v>351</v>
      </c>
      <c r="H128" s="6" t="s">
        <v>352</v>
      </c>
      <c r="I128" s="6">
        <v>38660</v>
      </c>
      <c r="J128" s="6" t="s">
        <v>12</v>
      </c>
      <c r="K128" s="6" t="str">
        <f t="shared" si="5"/>
        <v>insert into Customer_Address values(117,17,'3104 Pine Crest Landing','Oxford','MS','38660','USA');</v>
      </c>
    </row>
    <row r="129" spans="2:11" ht="15.6" x14ac:dyDescent="0.3">
      <c r="B129" s="6" t="s">
        <v>349</v>
      </c>
      <c r="C129" s="6">
        <v>118</v>
      </c>
      <c r="D129" s="6">
        <v>18</v>
      </c>
      <c r="E129" s="6" t="s">
        <v>369</v>
      </c>
      <c r="G129" s="6" t="s">
        <v>351</v>
      </c>
      <c r="H129" s="6" t="s">
        <v>352</v>
      </c>
      <c r="I129" s="6">
        <v>38661</v>
      </c>
      <c r="J129" s="6" t="s">
        <v>12</v>
      </c>
      <c r="K129" s="6" t="str">
        <f t="shared" si="5"/>
        <v>insert into Customer_Address values(118,18,'782 Country Brook Lane','Oxford','MS','38661','USA');</v>
      </c>
    </row>
    <row r="130" spans="2:11" ht="15.6" x14ac:dyDescent="0.3">
      <c r="B130" s="6" t="s">
        <v>349</v>
      </c>
      <c r="C130" s="6">
        <v>119</v>
      </c>
      <c r="D130" s="6">
        <v>19</v>
      </c>
      <c r="E130" s="6" t="s">
        <v>370</v>
      </c>
      <c r="G130" s="6" t="s">
        <v>351</v>
      </c>
      <c r="H130" s="6" t="s">
        <v>352</v>
      </c>
      <c r="I130" s="6">
        <v>38662</v>
      </c>
      <c r="J130" s="6" t="s">
        <v>12</v>
      </c>
      <c r="K130" s="6" t="str">
        <f t="shared" si="5"/>
        <v>insert into Customer_Address values(119,19,'1945 Sunrise Meadow Drive','Oxford','MS','38662','USA');</v>
      </c>
    </row>
    <row r="131" spans="2:11" ht="15.6" x14ac:dyDescent="0.3">
      <c r="B131" s="6" t="s">
        <v>349</v>
      </c>
      <c r="C131" s="6">
        <v>120</v>
      </c>
      <c r="D131" s="6">
        <v>20</v>
      </c>
      <c r="E131" s="6" t="s">
        <v>371</v>
      </c>
      <c r="G131" s="6" t="s">
        <v>351</v>
      </c>
      <c r="H131" s="6" t="s">
        <v>352</v>
      </c>
      <c r="I131" s="6">
        <v>38663</v>
      </c>
      <c r="J131" s="6" t="s">
        <v>12</v>
      </c>
      <c r="K131" s="6" t="str">
        <f t="shared" si="5"/>
        <v>insert into Customer_Address values(120,20,'4550 Crestview Summit Road','Oxford','MS','38663','USA');</v>
      </c>
    </row>
    <row r="132" spans="2:11" ht="15.6" x14ac:dyDescent="0.3">
      <c r="B132" s="6" t="s">
        <v>349</v>
      </c>
      <c r="C132" s="6">
        <v>121</v>
      </c>
      <c r="D132" s="6">
        <v>21</v>
      </c>
      <c r="E132" s="6" t="s">
        <v>372</v>
      </c>
      <c r="G132" s="6" t="s">
        <v>351</v>
      </c>
      <c r="H132" s="6" t="s">
        <v>352</v>
      </c>
      <c r="I132" s="6">
        <v>38664</v>
      </c>
      <c r="J132" s="6" t="s">
        <v>12</v>
      </c>
      <c r="K132" s="6" t="str">
        <f t="shared" si="5"/>
        <v>insert into Customer_Address values(121,21,'629 Birchmont Valley Drive','Oxford','MS','38664','USA');</v>
      </c>
    </row>
    <row r="133" spans="2:11" ht="15.6" x14ac:dyDescent="0.3">
      <c r="B133" s="6" t="s">
        <v>349</v>
      </c>
      <c r="C133" s="6">
        <v>122</v>
      </c>
      <c r="D133" s="6">
        <v>22</v>
      </c>
      <c r="E133" s="6" t="s">
        <v>373</v>
      </c>
      <c r="G133" s="6" t="s">
        <v>351</v>
      </c>
      <c r="H133" s="6" t="s">
        <v>352</v>
      </c>
      <c r="I133" s="6">
        <v>38665</v>
      </c>
      <c r="J133" s="6" t="s">
        <v>12</v>
      </c>
      <c r="K133" s="6" t="str">
        <f t="shared" si="5"/>
        <v>insert into Customer_Address values(122,22,'11803 Autumn Grove Trail','Oxford','MS','38665','USA');</v>
      </c>
    </row>
    <row r="134" spans="2:11" ht="15.6" x14ac:dyDescent="0.3">
      <c r="B134" s="6" t="s">
        <v>349</v>
      </c>
      <c r="C134" s="6">
        <v>123</v>
      </c>
      <c r="D134" s="6">
        <v>23</v>
      </c>
      <c r="E134" s="6" t="s">
        <v>374</v>
      </c>
      <c r="G134" s="6" t="s">
        <v>351</v>
      </c>
      <c r="H134" s="6" t="s">
        <v>352</v>
      </c>
      <c r="I134" s="6">
        <v>38666</v>
      </c>
      <c r="J134" s="6" t="s">
        <v>12</v>
      </c>
      <c r="K134" s="6" t="str">
        <f t="shared" si="5"/>
        <v>insert into Customer_Address values(123,23,'732 Redwood Crossing Lane','Oxford','MS','38666','USA');</v>
      </c>
    </row>
    <row r="135" spans="2:11" ht="15.6" x14ac:dyDescent="0.3">
      <c r="B135" s="6" t="s">
        <v>349</v>
      </c>
      <c r="C135" s="6">
        <v>124</v>
      </c>
      <c r="D135" s="6">
        <v>24</v>
      </c>
      <c r="E135" s="6" t="s">
        <v>375</v>
      </c>
      <c r="G135" s="6" t="s">
        <v>351</v>
      </c>
      <c r="H135" s="6" t="s">
        <v>352</v>
      </c>
      <c r="I135" s="6">
        <v>38667</v>
      </c>
      <c r="J135" s="6" t="s">
        <v>12</v>
      </c>
      <c r="K135" s="6" t="str">
        <f t="shared" si="5"/>
        <v>insert into Customer_Address values(124,24,'2549 Lakeshore Edge Drive','Oxford','MS','38667','USA');</v>
      </c>
    </row>
    <row r="136" spans="2:11" ht="15.6" x14ac:dyDescent="0.3">
      <c r="B136" s="6" t="s">
        <v>349</v>
      </c>
      <c r="C136" s="6">
        <v>125</v>
      </c>
      <c r="D136" s="6">
        <v>25</v>
      </c>
      <c r="E136" s="6" t="s">
        <v>376</v>
      </c>
      <c r="G136" s="6" t="s">
        <v>351</v>
      </c>
      <c r="H136" s="6" t="s">
        <v>352</v>
      </c>
      <c r="I136" s="6">
        <v>38668</v>
      </c>
      <c r="J136" s="6" t="s">
        <v>12</v>
      </c>
      <c r="K136" s="6" t="str">
        <f t="shared" si="5"/>
        <v>insert into Customer_Address values(125,25,'880 Stonehaven Ridge Court','Oxford','MS','38668','USA');</v>
      </c>
    </row>
    <row r="137" spans="2:11" ht="15.6" x14ac:dyDescent="0.3">
      <c r="B137" s="6" t="s">
        <v>349</v>
      </c>
      <c r="C137" s="6">
        <v>126</v>
      </c>
      <c r="D137" s="6">
        <v>26</v>
      </c>
      <c r="E137" s="6" t="s">
        <v>377</v>
      </c>
      <c r="G137" s="6" t="s">
        <v>351</v>
      </c>
      <c r="H137" s="6" t="s">
        <v>352</v>
      </c>
      <c r="I137" s="6">
        <v>38669</v>
      </c>
      <c r="J137" s="6" t="s">
        <v>12</v>
      </c>
      <c r="K137" s="6" t="str">
        <f t="shared" si="5"/>
        <v>insert into Customer_Address values(126,26,'333 Winding River Path','Oxford','MS','38669','USA');</v>
      </c>
    </row>
    <row r="138" spans="2:11" ht="15.6" x14ac:dyDescent="0.3">
      <c r="B138" s="6" t="s">
        <v>349</v>
      </c>
      <c r="C138" s="6">
        <v>127</v>
      </c>
      <c r="D138" s="6">
        <v>27</v>
      </c>
      <c r="E138" s="6" t="s">
        <v>378</v>
      </c>
      <c r="G138" s="6" t="s">
        <v>351</v>
      </c>
      <c r="H138" s="6" t="s">
        <v>352</v>
      </c>
      <c r="I138" s="6">
        <v>38670</v>
      </c>
      <c r="J138" s="6" t="s">
        <v>12</v>
      </c>
      <c r="K138" s="6" t="str">
        <f t="shared" si="5"/>
        <v>insert into Customer_Address values(127,27,'1460 Copperleaf Hill Drive','Oxford','MS','38670','USA');</v>
      </c>
    </row>
    <row r="139" spans="2:11" ht="15.6" x14ac:dyDescent="0.3">
      <c r="B139" s="6" t="s">
        <v>349</v>
      </c>
      <c r="C139" s="6">
        <v>128</v>
      </c>
      <c r="D139" s="6">
        <v>28</v>
      </c>
      <c r="E139" s="6" t="s">
        <v>379</v>
      </c>
      <c r="G139" s="6" t="s">
        <v>351</v>
      </c>
      <c r="H139" s="6" t="s">
        <v>352</v>
      </c>
      <c r="I139" s="6">
        <v>38671</v>
      </c>
      <c r="J139" s="6" t="s">
        <v>12</v>
      </c>
      <c r="K139" s="6" t="str">
        <f t="shared" si="5"/>
        <v>insert into Customer_Address values(128,28,'4987 Hawthorne Crest Loop','Oxford','MS','38671','USA');</v>
      </c>
    </row>
    <row r="140" spans="2:11" ht="15.6" x14ac:dyDescent="0.3">
      <c r="B140" s="6" t="s">
        <v>349</v>
      </c>
      <c r="C140" s="6">
        <v>129</v>
      </c>
      <c r="D140" s="6">
        <v>29</v>
      </c>
      <c r="E140" s="6" t="s">
        <v>380</v>
      </c>
      <c r="G140" s="6" t="s">
        <v>351</v>
      </c>
      <c r="H140" s="6" t="s">
        <v>352</v>
      </c>
      <c r="I140" s="6">
        <v>38672</v>
      </c>
      <c r="J140" s="6" t="s">
        <v>12</v>
      </c>
      <c r="K140" s="6" t="str">
        <f t="shared" si="5"/>
        <v>insert into Customer_Address values(129,29,'2095 Meadow Chase Lane','Oxford','MS','38672','USA');</v>
      </c>
    </row>
    <row r="141" spans="2:11" ht="15.6" x14ac:dyDescent="0.3">
      <c r="B141" s="6" t="s">
        <v>349</v>
      </c>
      <c r="C141" s="6">
        <v>130</v>
      </c>
      <c r="D141" s="6">
        <v>30</v>
      </c>
      <c r="E141" s="6" t="s">
        <v>381</v>
      </c>
      <c r="G141" s="6" t="s">
        <v>351</v>
      </c>
      <c r="H141" s="6" t="s">
        <v>352</v>
      </c>
      <c r="I141" s="6">
        <v>38673</v>
      </c>
      <c r="J141" s="6" t="s">
        <v>12</v>
      </c>
      <c r="K141" s="6" t="str">
        <f t="shared" si="5"/>
        <v>insert into Customer_Address values(130,30,'5153 Whispering Pine Overlook,','Oxford','MS','38673','USA');</v>
      </c>
    </row>
    <row r="142" spans="2:11" ht="15.6" x14ac:dyDescent="0.3">
      <c r="B142" s="6" t="s">
        <v>349</v>
      </c>
      <c r="C142" s="6">
        <v>131</v>
      </c>
      <c r="D142" s="6">
        <v>31</v>
      </c>
      <c r="E142" s="6" t="s">
        <v>382</v>
      </c>
      <c r="G142" s="6" t="s">
        <v>351</v>
      </c>
      <c r="H142" s="6" t="s">
        <v>352</v>
      </c>
      <c r="I142" s="6">
        <v>38674</v>
      </c>
      <c r="J142" s="6" t="s">
        <v>12</v>
      </c>
      <c r="K142" s="6" t="str">
        <f t="shared" si="5"/>
        <v>insert into Customer_Address values(131,31,'6810 Brookside Arbor Street','Oxford','MS','38674','USA');</v>
      </c>
    </row>
    <row r="143" spans="2:11" ht="15.6" x14ac:dyDescent="0.3">
      <c r="B143" s="6" t="s">
        <v>349</v>
      </c>
      <c r="C143" s="6">
        <v>132</v>
      </c>
      <c r="D143" s="6">
        <v>32</v>
      </c>
      <c r="E143" s="6" t="s">
        <v>383</v>
      </c>
      <c r="G143" s="6" t="s">
        <v>351</v>
      </c>
      <c r="H143" s="6" t="s">
        <v>352</v>
      </c>
      <c r="I143" s="6">
        <v>38675</v>
      </c>
      <c r="J143" s="6" t="s">
        <v>12</v>
      </c>
      <c r="K143" s="6" t="str">
        <f t="shared" si="5"/>
        <v>insert into Customer_Address values(132,32,'1274 Canyon Ridge Overlook','Oxford','MS','38675','USA');</v>
      </c>
    </row>
    <row r="144" spans="2:11" ht="15.6" x14ac:dyDescent="0.3">
      <c r="B144" s="6" t="s">
        <v>349</v>
      </c>
      <c r="C144" s="6">
        <v>133</v>
      </c>
      <c r="D144" s="6">
        <v>33</v>
      </c>
      <c r="E144" s="6" t="s">
        <v>384</v>
      </c>
      <c r="G144" s="6" t="s">
        <v>351</v>
      </c>
      <c r="H144" s="6" t="s">
        <v>352</v>
      </c>
      <c r="I144" s="6">
        <v>38676</v>
      </c>
      <c r="J144" s="6" t="s">
        <v>12</v>
      </c>
      <c r="K144" s="6" t="str">
        <f t="shared" si="5"/>
        <v>insert into Customer_Address values(133,33,'224 Briarwood Meadow Lane','Oxford','MS','38676','USA');</v>
      </c>
    </row>
    <row r="145" spans="2:11" ht="15.6" x14ac:dyDescent="0.3">
      <c r="B145" s="6" t="s">
        <v>349</v>
      </c>
      <c r="C145" s="6">
        <v>134</v>
      </c>
      <c r="D145" s="6">
        <v>34</v>
      </c>
      <c r="E145" s="6" t="s">
        <v>385</v>
      </c>
      <c r="G145" s="6" t="s">
        <v>351</v>
      </c>
      <c r="H145" s="6" t="s">
        <v>352</v>
      </c>
      <c r="I145" s="6">
        <v>38677</v>
      </c>
      <c r="J145" s="6" t="s">
        <v>12</v>
      </c>
      <c r="K145" s="6" t="str">
        <f t="shared" si="5"/>
        <v>insert into Customer_Address values(134,34,'612 Autumn Crest Boulevard','Oxford','MS','38677','USA');</v>
      </c>
    </row>
    <row r="146" spans="2:11" ht="15.6" x14ac:dyDescent="0.3">
      <c r="B146" s="6" t="s">
        <v>349</v>
      </c>
      <c r="C146" s="6">
        <v>135</v>
      </c>
      <c r="D146" s="6">
        <v>35</v>
      </c>
      <c r="E146" s="6" t="s">
        <v>386</v>
      </c>
      <c r="G146" s="6" t="s">
        <v>351</v>
      </c>
      <c r="H146" s="6" t="s">
        <v>352</v>
      </c>
      <c r="I146" s="6">
        <v>38678</v>
      </c>
      <c r="J146" s="6" t="s">
        <v>12</v>
      </c>
      <c r="K146" s="6" t="str">
        <f t="shared" si="5"/>
        <v>insert into Customer_Address values(135,35,'1937 Willow Ridge Pass','Oxford','MS','38678','USA');</v>
      </c>
    </row>
    <row r="147" spans="2:11" ht="15.6" x14ac:dyDescent="0.3">
      <c r="B147" s="6" t="s">
        <v>349</v>
      </c>
      <c r="C147" s="6">
        <v>136</v>
      </c>
      <c r="D147" s="6">
        <v>36</v>
      </c>
      <c r="E147" s="6" t="s">
        <v>387</v>
      </c>
      <c r="G147" s="6" t="s">
        <v>351</v>
      </c>
      <c r="H147" s="6" t="s">
        <v>352</v>
      </c>
      <c r="I147" s="6">
        <v>38679</v>
      </c>
      <c r="J147" s="6" t="s">
        <v>12</v>
      </c>
      <c r="K147" s="6" t="str">
        <f t="shared" si="5"/>
        <v>insert into Customer_Address values(136,36,'480 Cedarbrook Landing','Oxford','MS','38679','USA');</v>
      </c>
    </row>
    <row r="148" spans="2:11" ht="15.6" x14ac:dyDescent="0.3">
      <c r="B148" s="6" t="s">
        <v>349</v>
      </c>
      <c r="C148" s="6">
        <v>137</v>
      </c>
      <c r="D148" s="6">
        <v>37</v>
      </c>
      <c r="E148" s="6" t="s">
        <v>388</v>
      </c>
      <c r="G148" s="6" t="s">
        <v>351</v>
      </c>
      <c r="H148" s="6" t="s">
        <v>352</v>
      </c>
      <c r="I148" s="6">
        <v>38680</v>
      </c>
      <c r="J148" s="6" t="s">
        <v>12</v>
      </c>
      <c r="K148" s="6" t="str">
        <f t="shared" si="5"/>
        <v>insert into Customer_Address values(137,37,'1580 Highland Brook Court','Oxford','MS','38680','USA');</v>
      </c>
    </row>
    <row r="149" spans="2:11" ht="15.6" x14ac:dyDescent="0.3">
      <c r="B149" s="6" t="s">
        <v>349</v>
      </c>
      <c r="C149" s="6">
        <v>138</v>
      </c>
      <c r="D149" s="6">
        <v>38</v>
      </c>
      <c r="E149" s="6" t="s">
        <v>389</v>
      </c>
      <c r="G149" s="6" t="s">
        <v>351</v>
      </c>
      <c r="H149" s="6" t="s">
        <v>352</v>
      </c>
      <c r="I149" s="6">
        <v>38681</v>
      </c>
      <c r="J149" s="6" t="s">
        <v>12</v>
      </c>
      <c r="K149" s="6" t="str">
        <f t="shared" si="5"/>
        <v>insert into Customer_Address values(138,38,'729 Meadowstone Bluff','Oxford','MS','38681','USA');</v>
      </c>
    </row>
    <row r="150" spans="2:11" ht="15.6" x14ac:dyDescent="0.3">
      <c r="B150" s="6" t="s">
        <v>349</v>
      </c>
      <c r="C150" s="6">
        <v>139</v>
      </c>
      <c r="D150" s="6">
        <v>39</v>
      </c>
      <c r="E150" s="6" t="s">
        <v>390</v>
      </c>
      <c r="G150" s="6" t="s">
        <v>351</v>
      </c>
      <c r="H150" s="6" t="s">
        <v>352</v>
      </c>
      <c r="I150" s="6">
        <v>38682</v>
      </c>
      <c r="J150" s="6" t="s">
        <v>12</v>
      </c>
      <c r="K150" s="6" t="str">
        <f t="shared" si="5"/>
        <v>insert into Customer_Address values(139,39,'205 Oakridge River Trail','Oxford','MS','38682','USA');</v>
      </c>
    </row>
    <row r="151" spans="2:11" ht="15.6" x14ac:dyDescent="0.3">
      <c r="B151" s="6" t="s">
        <v>349</v>
      </c>
      <c r="C151" s="6">
        <v>140</v>
      </c>
      <c r="D151" s="6">
        <v>40</v>
      </c>
      <c r="E151" s="6" t="s">
        <v>391</v>
      </c>
      <c r="G151" s="6" t="s">
        <v>351</v>
      </c>
      <c r="H151" s="6" t="s">
        <v>352</v>
      </c>
      <c r="I151" s="6">
        <v>38683</v>
      </c>
      <c r="J151" s="6" t="s">
        <v>12</v>
      </c>
      <c r="K151" s="6" t="str">
        <f t="shared" si="5"/>
        <v>insert into Customer_Address values(140,40,'3349 Pine Haven Terrace','Oxford','MS','38683','USA');</v>
      </c>
    </row>
    <row r="152" spans="2:11" ht="15.6" x14ac:dyDescent="0.3">
      <c r="B152" s="6" t="s">
        <v>349</v>
      </c>
      <c r="C152" s="6">
        <v>141</v>
      </c>
      <c r="D152" s="6">
        <v>41</v>
      </c>
      <c r="E152" s="6" t="s">
        <v>392</v>
      </c>
      <c r="G152" s="6" t="s">
        <v>351</v>
      </c>
      <c r="H152" s="6" t="s">
        <v>352</v>
      </c>
      <c r="I152" s="6">
        <v>38684</v>
      </c>
      <c r="J152" s="6" t="s">
        <v>12</v>
      </c>
      <c r="K152" s="6" t="str">
        <f t="shared" si="5"/>
        <v>insert into Customer_Address values(141,41,'117 Creekside Grove Road','Oxford','MS','38684','USA');</v>
      </c>
    </row>
    <row r="153" spans="2:11" ht="15.6" x14ac:dyDescent="0.3">
      <c r="B153" s="6" t="s">
        <v>349</v>
      </c>
      <c r="C153" s="6">
        <v>142</v>
      </c>
      <c r="D153" s="6">
        <v>42</v>
      </c>
      <c r="E153" s="6" t="s">
        <v>393</v>
      </c>
      <c r="G153" s="6" t="s">
        <v>351</v>
      </c>
      <c r="H153" s="6" t="s">
        <v>352</v>
      </c>
      <c r="I153" s="6">
        <v>38685</v>
      </c>
      <c r="J153" s="6" t="s">
        <v>12</v>
      </c>
      <c r="K153" s="6" t="str">
        <f t="shared" si="5"/>
        <v>insert into Customer_Address values(142,42,'890 Silverleaf Hollow Drive','Oxford','MS','38685','USA');</v>
      </c>
    </row>
    <row r="154" spans="2:11" ht="15.6" x14ac:dyDescent="0.3"/>
    <row r="155" spans="2:11" ht="15.6" x14ac:dyDescent="0.3"/>
    <row r="156" spans="2:11" ht="15.6" x14ac:dyDescent="0.3"/>
    <row r="157" spans="2:11" ht="15.6" x14ac:dyDescent="0.3">
      <c r="B157" s="1" t="s">
        <v>394</v>
      </c>
      <c r="C157" s="2" t="s">
        <v>395</v>
      </c>
      <c r="D157" s="4" t="s">
        <v>173</v>
      </c>
      <c r="E157" s="4" t="s">
        <v>396</v>
      </c>
      <c r="F157" s="3" t="s">
        <v>397</v>
      </c>
      <c r="G157" s="3" t="s">
        <v>398</v>
      </c>
      <c r="H157" s="3" t="s">
        <v>399</v>
      </c>
      <c r="I157" s="12"/>
    </row>
    <row r="158" spans="2:11" ht="15.6" x14ac:dyDescent="0.3">
      <c r="B158" s="6" t="s">
        <v>400</v>
      </c>
      <c r="C158" s="6">
        <v>1000</v>
      </c>
      <c r="D158" s="6">
        <v>1</v>
      </c>
      <c r="E158" s="6">
        <v>101</v>
      </c>
      <c r="F158" s="13">
        <v>45352</v>
      </c>
      <c r="G158" s="6" t="s">
        <v>401</v>
      </c>
      <c r="H158" s="6">
        <v>1899.99</v>
      </c>
      <c r="K158" s="6" t="str">
        <f t="shared" ref="K158:K199" si="6">B158&amp;C158&amp;","&amp;D158&amp;","&amp;E158&amp;",to_date('"&amp;TEXT(F158,"mm/dd/yyyy")&amp;"','mm/dd/yyyy'),'"&amp;G158&amp;"',"&amp;H158&amp;");"</f>
        <v>insert into Orders values(1000,1,101,to_date('03/01/2024','mm/dd/yyyy'),'Delivered',1899.99);</v>
      </c>
    </row>
    <row r="159" spans="2:11" ht="15.6" x14ac:dyDescent="0.3">
      <c r="B159" s="6" t="s">
        <v>400</v>
      </c>
      <c r="C159" s="6">
        <v>1002</v>
      </c>
      <c r="D159" s="6">
        <v>2</v>
      </c>
      <c r="E159" s="6">
        <v>102</v>
      </c>
      <c r="F159" s="13">
        <v>45353</v>
      </c>
      <c r="G159" s="6" t="s">
        <v>401</v>
      </c>
      <c r="H159" s="6">
        <v>1199</v>
      </c>
      <c r="K159" s="6" t="str">
        <f t="shared" si="6"/>
        <v>insert into Orders values(1002,2,102,to_date('03/02/2024','mm/dd/yyyy'),'Delivered',1199);</v>
      </c>
    </row>
    <row r="160" spans="2:11" ht="15.6" x14ac:dyDescent="0.3">
      <c r="B160" s="6" t="s">
        <v>400</v>
      </c>
      <c r="C160" s="6">
        <v>1003</v>
      </c>
      <c r="D160" s="6">
        <v>3</v>
      </c>
      <c r="E160" s="6">
        <v>103</v>
      </c>
      <c r="F160" s="13">
        <v>45354</v>
      </c>
      <c r="G160" s="6" t="s">
        <v>402</v>
      </c>
      <c r="H160" s="6">
        <v>1499</v>
      </c>
      <c r="K160" s="6" t="str">
        <f t="shared" si="6"/>
        <v>insert into Orders values(1003,3,103,to_date('03/03/2024','mm/dd/yyyy'),'Shipped',1499);</v>
      </c>
    </row>
    <row r="161" spans="2:11" ht="15.6" x14ac:dyDescent="0.3">
      <c r="B161" s="6" t="s">
        <v>400</v>
      </c>
      <c r="C161" s="6">
        <v>1004</v>
      </c>
      <c r="D161" s="6">
        <v>4</v>
      </c>
      <c r="E161" s="6">
        <v>104</v>
      </c>
      <c r="F161" s="13">
        <v>45355</v>
      </c>
      <c r="G161" s="6" t="s">
        <v>401</v>
      </c>
      <c r="H161" s="6">
        <v>3599.98</v>
      </c>
      <c r="K161" s="6" t="str">
        <f t="shared" si="6"/>
        <v>insert into Orders values(1004,4,104,to_date('03/04/2024','mm/dd/yyyy'),'Delivered',3599.98);</v>
      </c>
    </row>
    <row r="162" spans="2:11" ht="15.6" x14ac:dyDescent="0.3">
      <c r="B162" s="6" t="s">
        <v>400</v>
      </c>
      <c r="C162" s="6">
        <v>1005</v>
      </c>
      <c r="D162" s="6">
        <v>5</v>
      </c>
      <c r="E162" s="6">
        <v>105</v>
      </c>
      <c r="F162" s="13">
        <v>45356</v>
      </c>
      <c r="G162" s="6" t="s">
        <v>401</v>
      </c>
      <c r="H162" s="6">
        <v>329.99</v>
      </c>
      <c r="K162" s="6" t="str">
        <f t="shared" si="6"/>
        <v>insert into Orders values(1005,5,105,to_date('03/05/2024','mm/dd/yyyy'),'Delivered',329.99);</v>
      </c>
    </row>
    <row r="163" spans="2:11" ht="15.6" x14ac:dyDescent="0.3">
      <c r="B163" s="6" t="s">
        <v>400</v>
      </c>
      <c r="C163" s="6">
        <v>1006</v>
      </c>
      <c r="D163" s="6">
        <v>6</v>
      </c>
      <c r="E163" s="6">
        <v>106</v>
      </c>
      <c r="F163" s="13">
        <v>45357</v>
      </c>
      <c r="G163" s="6" t="s">
        <v>402</v>
      </c>
      <c r="H163" s="6">
        <v>599.99</v>
      </c>
      <c r="K163" s="6" t="str">
        <f t="shared" si="6"/>
        <v>insert into Orders values(1006,6,106,to_date('03/06/2024','mm/dd/yyyy'),'Shipped',599.99);</v>
      </c>
    </row>
    <row r="164" spans="2:11" ht="15.6" x14ac:dyDescent="0.3">
      <c r="B164" s="6" t="s">
        <v>400</v>
      </c>
      <c r="C164" s="6">
        <v>1007</v>
      </c>
      <c r="D164" s="6">
        <v>7</v>
      </c>
      <c r="E164" s="6">
        <v>107</v>
      </c>
      <c r="F164" s="13">
        <v>45358</v>
      </c>
      <c r="G164" s="6" t="s">
        <v>401</v>
      </c>
      <c r="H164" s="6">
        <v>239.98</v>
      </c>
      <c r="K164" s="6" t="str">
        <f t="shared" si="6"/>
        <v>insert into Orders values(1007,7,107,to_date('03/07/2024','mm/dd/yyyy'),'Delivered',239.98);</v>
      </c>
    </row>
    <row r="165" spans="2:11" ht="15.6" x14ac:dyDescent="0.3">
      <c r="B165" s="6" t="s">
        <v>400</v>
      </c>
      <c r="C165" s="6">
        <v>1008</v>
      </c>
      <c r="D165" s="6">
        <v>8</v>
      </c>
      <c r="E165" s="6">
        <v>108</v>
      </c>
      <c r="F165" s="13">
        <v>45359</v>
      </c>
      <c r="G165" s="6" t="s">
        <v>401</v>
      </c>
      <c r="H165" s="6">
        <v>99.99</v>
      </c>
      <c r="K165" s="6" t="str">
        <f t="shared" si="6"/>
        <v>insert into Orders values(1008,8,108,to_date('03/08/2024','mm/dd/yyyy'),'Delivered',99.99);</v>
      </c>
    </row>
    <row r="166" spans="2:11" ht="15.6" x14ac:dyDescent="0.3">
      <c r="B166" s="6" t="s">
        <v>400</v>
      </c>
      <c r="C166" s="6">
        <v>1009</v>
      </c>
      <c r="D166" s="6">
        <v>9</v>
      </c>
      <c r="E166" s="6">
        <v>109</v>
      </c>
      <c r="F166" s="13">
        <v>45360</v>
      </c>
      <c r="G166" s="6" t="s">
        <v>402</v>
      </c>
      <c r="H166" s="6">
        <v>129.99</v>
      </c>
      <c r="K166" s="6" t="str">
        <f t="shared" si="6"/>
        <v>insert into Orders values(1009,9,109,to_date('03/09/2024','mm/dd/yyyy'),'Shipped',129.99);</v>
      </c>
    </row>
    <row r="167" spans="2:11" ht="15.6" x14ac:dyDescent="0.3">
      <c r="B167" s="6" t="s">
        <v>400</v>
      </c>
      <c r="C167" s="6">
        <v>1010</v>
      </c>
      <c r="D167" s="6">
        <v>10</v>
      </c>
      <c r="E167" s="6">
        <v>110</v>
      </c>
      <c r="F167" s="13">
        <v>45361</v>
      </c>
      <c r="G167" s="6" t="s">
        <v>401</v>
      </c>
      <c r="H167" s="6">
        <v>559.98</v>
      </c>
      <c r="K167" s="6" t="str">
        <f t="shared" si="6"/>
        <v>insert into Orders values(1010,10,110,to_date('03/10/2024','mm/dd/yyyy'),'Delivered',559.98);</v>
      </c>
    </row>
    <row r="168" spans="2:11" ht="15.6" x14ac:dyDescent="0.3">
      <c r="B168" s="6" t="s">
        <v>400</v>
      </c>
      <c r="C168" s="6">
        <v>1011</v>
      </c>
      <c r="D168" s="6">
        <v>11</v>
      </c>
      <c r="E168" s="6">
        <v>111</v>
      </c>
      <c r="F168" s="13">
        <v>45362</v>
      </c>
      <c r="G168" s="6" t="s">
        <v>401</v>
      </c>
      <c r="H168" s="6">
        <v>2199.9899999999998</v>
      </c>
      <c r="K168" s="6" t="str">
        <f t="shared" si="6"/>
        <v>insert into Orders values(1011,11,111,to_date('03/11/2024','mm/dd/yyyy'),'Delivered',2199.99);</v>
      </c>
    </row>
    <row r="169" spans="2:11" ht="15.6" x14ac:dyDescent="0.3">
      <c r="B169" s="6" t="s">
        <v>400</v>
      </c>
      <c r="C169" s="6">
        <v>1012</v>
      </c>
      <c r="D169" s="6">
        <v>12</v>
      </c>
      <c r="E169" s="6">
        <v>112</v>
      </c>
      <c r="F169" s="13">
        <v>45363</v>
      </c>
      <c r="G169" s="6" t="s">
        <v>402</v>
      </c>
      <c r="H169" s="6">
        <v>799.99</v>
      </c>
      <c r="K169" s="6" t="str">
        <f t="shared" si="6"/>
        <v>insert into Orders values(1012,12,112,to_date('03/12/2024','mm/dd/yyyy'),'Shipped',799.99);</v>
      </c>
    </row>
    <row r="170" spans="2:11" ht="15.6" x14ac:dyDescent="0.3">
      <c r="B170" s="6" t="s">
        <v>400</v>
      </c>
      <c r="C170" s="6">
        <v>1013</v>
      </c>
      <c r="D170" s="6">
        <v>13</v>
      </c>
      <c r="E170" s="6">
        <v>101</v>
      </c>
      <c r="F170" s="13">
        <v>45364</v>
      </c>
      <c r="G170" s="6" t="s">
        <v>401</v>
      </c>
      <c r="H170" s="6">
        <v>749.99</v>
      </c>
      <c r="K170" s="6" t="str">
        <f t="shared" si="6"/>
        <v>insert into Orders values(1013,13,101,to_date('03/13/2024','mm/dd/yyyy'),'Delivered',749.99);</v>
      </c>
    </row>
    <row r="171" spans="2:11" ht="15.6" x14ac:dyDescent="0.3">
      <c r="B171" s="6" t="s">
        <v>400</v>
      </c>
      <c r="C171" s="6">
        <v>1014</v>
      </c>
      <c r="D171" s="6">
        <v>14</v>
      </c>
      <c r="E171" s="6">
        <v>102</v>
      </c>
      <c r="F171" s="13">
        <v>45365</v>
      </c>
      <c r="G171" s="6" t="s">
        <v>401</v>
      </c>
      <c r="H171" s="6">
        <v>1999</v>
      </c>
      <c r="K171" s="6" t="str">
        <f t="shared" si="6"/>
        <v>insert into Orders values(1014,14,102,to_date('03/14/2024','mm/dd/yyyy'),'Delivered',1999);</v>
      </c>
    </row>
    <row r="172" spans="2:11" ht="15.6" x14ac:dyDescent="0.3">
      <c r="B172" s="6" t="s">
        <v>400</v>
      </c>
      <c r="C172" s="6">
        <v>1015</v>
      </c>
      <c r="D172" s="6">
        <v>15</v>
      </c>
      <c r="E172" s="6">
        <v>103</v>
      </c>
      <c r="F172" s="13">
        <v>45366</v>
      </c>
      <c r="G172" s="6" t="s">
        <v>402</v>
      </c>
      <c r="H172" s="6">
        <v>2799.98</v>
      </c>
      <c r="K172" s="6" t="str">
        <f t="shared" si="6"/>
        <v>insert into Orders values(1015,15,103,to_date('03/15/2024','mm/dd/yyyy'),'Shipped',2799.98);</v>
      </c>
    </row>
    <row r="173" spans="2:11" ht="15.6" x14ac:dyDescent="0.3">
      <c r="B173" s="6" t="s">
        <v>400</v>
      </c>
      <c r="C173" s="6">
        <v>1016</v>
      </c>
      <c r="D173" s="6">
        <v>16</v>
      </c>
      <c r="E173" s="6">
        <v>104</v>
      </c>
      <c r="F173" s="13">
        <v>45367</v>
      </c>
      <c r="G173" s="6" t="s">
        <v>401</v>
      </c>
      <c r="H173" s="6">
        <v>999.99</v>
      </c>
      <c r="K173" s="6" t="str">
        <f t="shared" si="6"/>
        <v>insert into Orders values(1016,16,104,to_date('03/16/2024','mm/dd/yyyy'),'Delivered',999.99);</v>
      </c>
    </row>
    <row r="174" spans="2:11" ht="15.6" x14ac:dyDescent="0.3">
      <c r="B174" s="6" t="s">
        <v>400</v>
      </c>
      <c r="C174" s="6">
        <v>1017</v>
      </c>
      <c r="D174" s="6">
        <v>17</v>
      </c>
      <c r="E174" s="6">
        <v>105</v>
      </c>
      <c r="F174" s="13">
        <v>45368</v>
      </c>
      <c r="G174" s="6" t="s">
        <v>401</v>
      </c>
      <c r="H174" s="6">
        <v>399.99</v>
      </c>
      <c r="K174" s="6" t="str">
        <f t="shared" si="6"/>
        <v>insert into Orders values(1017,17,105,to_date('03/17/2024','mm/dd/yyyy'),'Delivered',399.99);</v>
      </c>
    </row>
    <row r="175" spans="2:11" ht="15.6" x14ac:dyDescent="0.3">
      <c r="B175" s="6" t="s">
        <v>400</v>
      </c>
      <c r="C175" s="6">
        <v>1018</v>
      </c>
      <c r="D175" s="6">
        <v>18</v>
      </c>
      <c r="E175" s="6">
        <v>106</v>
      </c>
      <c r="F175" s="13">
        <v>45369</v>
      </c>
      <c r="G175" s="6" t="s">
        <v>402</v>
      </c>
      <c r="H175" s="6">
        <v>1499.99</v>
      </c>
      <c r="K175" s="6" t="str">
        <f t="shared" si="6"/>
        <v>insert into Orders values(1018,18,106,to_date('03/18/2024','mm/dd/yyyy'),'Shipped',1499.99);</v>
      </c>
    </row>
    <row r="176" spans="2:11" ht="15.6" x14ac:dyDescent="0.3">
      <c r="B176" s="6" t="s">
        <v>400</v>
      </c>
      <c r="C176" s="6">
        <v>1019</v>
      </c>
      <c r="D176" s="6">
        <v>19</v>
      </c>
      <c r="E176" s="6">
        <v>107</v>
      </c>
      <c r="F176" s="13">
        <v>45370</v>
      </c>
      <c r="G176" s="6" t="s">
        <v>401</v>
      </c>
      <c r="H176" s="6">
        <v>259.98</v>
      </c>
      <c r="K176" s="6" t="str">
        <f t="shared" si="6"/>
        <v>insert into Orders values(1019,19,107,to_date('03/19/2024','mm/dd/yyyy'),'Delivered',259.98);</v>
      </c>
    </row>
    <row r="177" spans="2:11" ht="15.6" x14ac:dyDescent="0.3">
      <c r="B177" s="6" t="s">
        <v>400</v>
      </c>
      <c r="C177" s="6">
        <v>1020</v>
      </c>
      <c r="D177" s="6">
        <v>20</v>
      </c>
      <c r="E177" s="6">
        <v>108</v>
      </c>
      <c r="F177" s="13">
        <v>45371</v>
      </c>
      <c r="G177" s="6" t="s">
        <v>401</v>
      </c>
      <c r="H177" s="6">
        <v>249.99</v>
      </c>
      <c r="K177" s="6" t="str">
        <f t="shared" si="6"/>
        <v>insert into Orders values(1020,20,108,to_date('03/20/2024','mm/dd/yyyy'),'Delivered',249.99);</v>
      </c>
    </row>
    <row r="178" spans="2:11" ht="15.6" x14ac:dyDescent="0.3">
      <c r="B178" s="6" t="s">
        <v>400</v>
      </c>
      <c r="C178" s="6">
        <v>1021</v>
      </c>
      <c r="D178" s="6">
        <v>21</v>
      </c>
      <c r="E178" s="6">
        <v>109</v>
      </c>
      <c r="F178" s="13">
        <v>45372</v>
      </c>
      <c r="G178" s="6" t="s">
        <v>402</v>
      </c>
      <c r="H178" s="6">
        <v>699.99</v>
      </c>
      <c r="K178" s="6" t="str">
        <f t="shared" si="6"/>
        <v>insert into Orders values(1021,21,109,to_date('03/21/2024','mm/dd/yyyy'),'Shipped',699.99);</v>
      </c>
    </row>
    <row r="179" spans="2:11" ht="15.6" x14ac:dyDescent="0.3">
      <c r="B179" s="6" t="s">
        <v>400</v>
      </c>
      <c r="C179" s="6">
        <v>1022</v>
      </c>
      <c r="D179" s="6">
        <v>22</v>
      </c>
      <c r="E179" s="6">
        <v>110</v>
      </c>
      <c r="F179" s="13">
        <v>45373</v>
      </c>
      <c r="G179" s="6" t="s">
        <v>401</v>
      </c>
      <c r="H179" s="6">
        <v>2199.98</v>
      </c>
      <c r="K179" s="6" t="str">
        <f t="shared" si="6"/>
        <v>insert into Orders values(1022,22,110,to_date('03/22/2024','mm/dd/yyyy'),'Delivered',2199.98);</v>
      </c>
    </row>
    <row r="180" spans="2:11" ht="15.6" x14ac:dyDescent="0.3">
      <c r="B180" s="6" t="s">
        <v>400</v>
      </c>
      <c r="C180" s="6">
        <v>1023</v>
      </c>
      <c r="D180" s="6">
        <v>23</v>
      </c>
      <c r="E180" s="6">
        <v>113</v>
      </c>
      <c r="F180" s="13">
        <v>45374</v>
      </c>
      <c r="G180" s="6" t="s">
        <v>401</v>
      </c>
      <c r="H180" s="6">
        <v>1899.99</v>
      </c>
      <c r="K180" s="6" t="str">
        <f t="shared" si="6"/>
        <v>insert into Orders values(1023,23,113,to_date('03/23/2024','mm/dd/yyyy'),'Delivered',1899.99);</v>
      </c>
    </row>
    <row r="181" spans="2:11" ht="15.6" x14ac:dyDescent="0.3">
      <c r="B181" s="6" t="s">
        <v>400</v>
      </c>
      <c r="C181" s="6">
        <v>1024</v>
      </c>
      <c r="D181" s="6">
        <v>24</v>
      </c>
      <c r="E181" s="6">
        <v>114</v>
      </c>
      <c r="F181" s="13">
        <v>45375</v>
      </c>
      <c r="G181" s="6" t="s">
        <v>402</v>
      </c>
      <c r="H181" s="6">
        <v>2398</v>
      </c>
      <c r="K181" s="6" t="str">
        <f t="shared" si="6"/>
        <v>insert into Orders values(1024,24,114,to_date('03/24/2024','mm/dd/yyyy'),'Shipped',2398);</v>
      </c>
    </row>
    <row r="182" spans="2:11" ht="15.75" customHeight="1" x14ac:dyDescent="0.3">
      <c r="B182" s="6" t="s">
        <v>400</v>
      </c>
      <c r="C182" s="6">
        <v>1025</v>
      </c>
      <c r="D182" s="6">
        <v>25</v>
      </c>
      <c r="E182" s="6">
        <v>115</v>
      </c>
      <c r="F182" s="13">
        <v>45376</v>
      </c>
      <c r="G182" s="6" t="s">
        <v>401</v>
      </c>
      <c r="H182" s="6">
        <v>1499</v>
      </c>
      <c r="K182" s="6" t="str">
        <f t="shared" si="6"/>
        <v>insert into Orders values(1025,25,115,to_date('03/25/2024','mm/dd/yyyy'),'Delivered',1499);</v>
      </c>
    </row>
    <row r="183" spans="2:11" ht="15.6" x14ac:dyDescent="0.3">
      <c r="B183" s="6" t="s">
        <v>400</v>
      </c>
      <c r="C183" s="6">
        <v>1026</v>
      </c>
      <c r="D183" s="6">
        <v>26</v>
      </c>
      <c r="E183" s="6">
        <v>116</v>
      </c>
      <c r="F183" s="13">
        <v>45377</v>
      </c>
      <c r="G183" s="6" t="s">
        <v>401</v>
      </c>
      <c r="H183" s="6">
        <v>1799.99</v>
      </c>
      <c r="K183" s="6" t="str">
        <f t="shared" si="6"/>
        <v>insert into Orders values(1026,26,116,to_date('03/26/2024','mm/dd/yyyy'),'Delivered',1799.99);</v>
      </c>
    </row>
    <row r="184" spans="2:11" ht="15.6" x14ac:dyDescent="0.3">
      <c r="B184" s="6" t="s">
        <v>400</v>
      </c>
      <c r="C184" s="6">
        <v>1027</v>
      </c>
      <c r="D184" s="6">
        <v>27</v>
      </c>
      <c r="E184" s="6">
        <v>117</v>
      </c>
      <c r="F184" s="13">
        <v>45378</v>
      </c>
      <c r="G184" s="6" t="s">
        <v>402</v>
      </c>
      <c r="H184" s="6">
        <v>659.98</v>
      </c>
      <c r="K184" s="6" t="str">
        <f t="shared" si="6"/>
        <v>insert into Orders values(1027,27,117,to_date('03/27/2024','mm/dd/yyyy'),'Shipped',659.98);</v>
      </c>
    </row>
    <row r="185" spans="2:11" ht="15.6" x14ac:dyDescent="0.3">
      <c r="B185" s="6" t="s">
        <v>400</v>
      </c>
      <c r="C185" s="6">
        <v>1028</v>
      </c>
      <c r="D185" s="6">
        <v>28</v>
      </c>
      <c r="E185" s="6">
        <v>118</v>
      </c>
      <c r="F185" s="13">
        <v>45379</v>
      </c>
      <c r="G185" s="6" t="s">
        <v>401</v>
      </c>
      <c r="H185" s="6">
        <v>1199.98</v>
      </c>
      <c r="K185" s="6" t="str">
        <f t="shared" si="6"/>
        <v>insert into Orders values(1028,28,118,to_date('03/28/2024','mm/dd/yyyy'),'Delivered',1199.98);</v>
      </c>
    </row>
    <row r="186" spans="2:11" ht="15.6" x14ac:dyDescent="0.3">
      <c r="B186" s="6" t="s">
        <v>400</v>
      </c>
      <c r="C186" s="6">
        <v>1029</v>
      </c>
      <c r="D186" s="6">
        <v>29</v>
      </c>
      <c r="E186" s="6">
        <v>119</v>
      </c>
      <c r="F186" s="13">
        <v>45380</v>
      </c>
      <c r="G186" s="6" t="s">
        <v>401</v>
      </c>
      <c r="H186" s="6">
        <v>119.99</v>
      </c>
      <c r="K186" s="6" t="str">
        <f t="shared" si="6"/>
        <v>insert into Orders values(1029,29,119,to_date('03/29/2024','mm/dd/yyyy'),'Delivered',119.99);</v>
      </c>
    </row>
    <row r="187" spans="2:11" ht="15.6" x14ac:dyDescent="0.3">
      <c r="B187" s="6" t="s">
        <v>400</v>
      </c>
      <c r="C187" s="6">
        <v>1030</v>
      </c>
      <c r="D187" s="6">
        <v>30</v>
      </c>
      <c r="E187" s="6">
        <v>120</v>
      </c>
      <c r="F187" s="13">
        <v>45381</v>
      </c>
      <c r="G187" s="6" t="s">
        <v>402</v>
      </c>
      <c r="H187" s="6">
        <v>199.98</v>
      </c>
      <c r="K187" s="6" t="str">
        <f t="shared" si="6"/>
        <v>insert into Orders values(1030,30,120,to_date('03/30/2024','mm/dd/yyyy'),'Shipped',199.98);</v>
      </c>
    </row>
    <row r="188" spans="2:11" ht="15.75" customHeight="1" x14ac:dyDescent="0.3">
      <c r="B188" s="6" t="s">
        <v>400</v>
      </c>
      <c r="C188" s="6">
        <v>1031</v>
      </c>
      <c r="D188" s="6">
        <v>31</v>
      </c>
      <c r="E188" s="6">
        <v>121</v>
      </c>
      <c r="F188" s="13">
        <v>45382</v>
      </c>
      <c r="G188" s="6" t="s">
        <v>401</v>
      </c>
      <c r="H188" s="6">
        <v>129.99</v>
      </c>
      <c r="K188" s="6" t="str">
        <f t="shared" si="6"/>
        <v>insert into Orders values(1031,31,121,to_date('03/31/2024','mm/dd/yyyy'),'Delivered',129.99);</v>
      </c>
    </row>
    <row r="189" spans="2:11" ht="15.75" customHeight="1" x14ac:dyDescent="0.3">
      <c r="B189" s="6" t="s">
        <v>400</v>
      </c>
      <c r="C189" s="6">
        <v>1032</v>
      </c>
      <c r="D189" s="6">
        <v>32</v>
      </c>
      <c r="E189" s="6">
        <v>122</v>
      </c>
      <c r="F189" s="13">
        <v>45383</v>
      </c>
      <c r="G189" s="6" t="s">
        <v>401</v>
      </c>
      <c r="H189" s="6">
        <v>559.98</v>
      </c>
      <c r="K189" s="6" t="str">
        <f t="shared" si="6"/>
        <v>insert into Orders values(1032,32,122,to_date('04/01/2024','mm/dd/yyyy'),'Delivered',559.98);</v>
      </c>
    </row>
    <row r="190" spans="2:11" ht="15.75" customHeight="1" x14ac:dyDescent="0.3">
      <c r="B190" s="6" t="s">
        <v>400</v>
      </c>
      <c r="C190" s="6">
        <v>1033</v>
      </c>
      <c r="D190" s="6">
        <v>33</v>
      </c>
      <c r="E190" s="6">
        <v>123</v>
      </c>
      <c r="F190" s="13">
        <v>45384</v>
      </c>
      <c r="G190" s="6" t="s">
        <v>402</v>
      </c>
      <c r="H190" s="6">
        <v>2199.9899999999998</v>
      </c>
      <c r="K190" s="6" t="str">
        <f t="shared" si="6"/>
        <v>insert into Orders values(1033,33,123,to_date('04/02/2024','mm/dd/yyyy'),'Shipped',2199.99);</v>
      </c>
    </row>
    <row r="191" spans="2:11" ht="15.6" x14ac:dyDescent="0.3">
      <c r="B191" s="6" t="s">
        <v>400</v>
      </c>
      <c r="C191" s="6">
        <v>1034</v>
      </c>
      <c r="D191" s="6">
        <v>34</v>
      </c>
      <c r="E191" s="6">
        <v>124</v>
      </c>
      <c r="F191" s="13">
        <v>45385</v>
      </c>
      <c r="G191" s="6" t="s">
        <v>401</v>
      </c>
      <c r="H191" s="6">
        <v>1599.98</v>
      </c>
      <c r="K191" s="6" t="str">
        <f t="shared" si="6"/>
        <v>insert into Orders values(1034,34,124,to_date('04/03/2024','mm/dd/yyyy'),'Delivered',1599.98);</v>
      </c>
    </row>
    <row r="192" spans="2:11" ht="15.6" x14ac:dyDescent="0.3">
      <c r="B192" s="6" t="s">
        <v>400</v>
      </c>
      <c r="C192" s="6">
        <v>1035</v>
      </c>
      <c r="D192" s="6">
        <v>35</v>
      </c>
      <c r="E192" s="6">
        <v>125</v>
      </c>
      <c r="F192" s="13">
        <v>45386</v>
      </c>
      <c r="G192" s="6" t="s">
        <v>401</v>
      </c>
      <c r="H192" s="6">
        <v>1499.98</v>
      </c>
      <c r="K192" s="6" t="str">
        <f t="shared" si="6"/>
        <v>insert into Orders values(1035,35,125,to_date('04/04/2024','mm/dd/yyyy'),'Delivered',1499.98);</v>
      </c>
    </row>
    <row r="193" spans="2:11" ht="15.6" x14ac:dyDescent="0.3">
      <c r="B193" s="6" t="s">
        <v>400</v>
      </c>
      <c r="C193" s="6">
        <v>1036</v>
      </c>
      <c r="D193" s="6">
        <v>36</v>
      </c>
      <c r="E193" s="6">
        <v>126</v>
      </c>
      <c r="F193" s="13">
        <v>45387</v>
      </c>
      <c r="G193" s="6" t="s">
        <v>402</v>
      </c>
      <c r="H193" s="6">
        <v>1999</v>
      </c>
      <c r="K193" s="6" t="str">
        <f t="shared" si="6"/>
        <v>insert into Orders values(1036,36,126,to_date('04/05/2024','mm/dd/yyyy'),'Shipped',1999);</v>
      </c>
    </row>
    <row r="194" spans="2:11" ht="15.6" x14ac:dyDescent="0.3">
      <c r="B194" s="6" t="s">
        <v>400</v>
      </c>
      <c r="C194" s="6">
        <v>1037</v>
      </c>
      <c r="D194" s="6">
        <v>37</v>
      </c>
      <c r="E194" s="6">
        <v>127</v>
      </c>
      <c r="F194" s="13">
        <v>45388</v>
      </c>
      <c r="G194" s="6" t="s">
        <v>401</v>
      </c>
      <c r="H194" s="6">
        <v>2998</v>
      </c>
      <c r="K194" s="6" t="str">
        <f t="shared" si="6"/>
        <v>insert into Orders values(1037,37,127,to_date('04/06/2024','mm/dd/yyyy'),'Delivered',2998);</v>
      </c>
    </row>
    <row r="195" spans="2:11" ht="15.6" x14ac:dyDescent="0.3">
      <c r="B195" s="6" t="s">
        <v>400</v>
      </c>
      <c r="C195" s="6">
        <v>1038</v>
      </c>
      <c r="D195" s="6">
        <v>38</v>
      </c>
      <c r="E195" s="6">
        <v>128</v>
      </c>
      <c r="F195" s="13">
        <v>45389</v>
      </c>
      <c r="G195" s="6" t="s">
        <v>401</v>
      </c>
      <c r="H195" s="6">
        <v>999.99</v>
      </c>
      <c r="K195" s="6" t="str">
        <f t="shared" si="6"/>
        <v>insert into Orders values(1038,38,128,to_date('04/07/2024','mm/dd/yyyy'),'Delivered',999.99);</v>
      </c>
    </row>
    <row r="196" spans="2:11" ht="15.75" customHeight="1" x14ac:dyDescent="0.3">
      <c r="B196" s="6" t="s">
        <v>400</v>
      </c>
      <c r="C196" s="6">
        <v>1039</v>
      </c>
      <c r="D196" s="6">
        <v>39</v>
      </c>
      <c r="E196" s="6">
        <v>129</v>
      </c>
      <c r="F196" s="13">
        <v>45390</v>
      </c>
      <c r="G196" s="6" t="s">
        <v>402</v>
      </c>
      <c r="H196" s="6">
        <v>1999</v>
      </c>
      <c r="K196" s="6" t="str">
        <f t="shared" si="6"/>
        <v>insert into Orders values(1039,39,129,to_date('04/08/2024','mm/dd/yyyy'),'Shipped',1999);</v>
      </c>
    </row>
    <row r="197" spans="2:11" ht="15.75" customHeight="1" x14ac:dyDescent="0.3">
      <c r="B197" s="6" t="s">
        <v>400</v>
      </c>
      <c r="C197" s="6">
        <v>1040</v>
      </c>
      <c r="D197" s="6">
        <v>40</v>
      </c>
      <c r="E197" s="6">
        <v>130</v>
      </c>
      <c r="F197" s="13">
        <v>45391</v>
      </c>
      <c r="G197" s="6" t="s">
        <v>401</v>
      </c>
      <c r="H197" s="6">
        <v>4399.9799999999996</v>
      </c>
      <c r="K197" s="6" t="str">
        <f t="shared" si="6"/>
        <v>insert into Orders values(1040,40,130,to_date('04/09/2024','mm/dd/yyyy'),'Delivered',4399.98);</v>
      </c>
    </row>
    <row r="198" spans="2:11" ht="15.75" customHeight="1" x14ac:dyDescent="0.3">
      <c r="B198" s="6" t="s">
        <v>400</v>
      </c>
      <c r="C198" s="6">
        <v>1041</v>
      </c>
      <c r="D198" s="6">
        <v>41</v>
      </c>
      <c r="E198" s="6">
        <v>131</v>
      </c>
      <c r="F198" s="13">
        <v>45392</v>
      </c>
      <c r="G198" s="6" t="s">
        <v>401</v>
      </c>
      <c r="H198" s="6">
        <v>749.97</v>
      </c>
      <c r="K198" s="6" t="str">
        <f t="shared" si="6"/>
        <v>insert into Orders values(1041,41,131,to_date('04/10/2024','mm/dd/yyyy'),'Delivered',749.97);</v>
      </c>
    </row>
    <row r="199" spans="2:11" ht="15.75" customHeight="1" x14ac:dyDescent="0.3">
      <c r="B199" s="6" t="s">
        <v>400</v>
      </c>
      <c r="C199" s="6">
        <v>1042</v>
      </c>
      <c r="D199" s="6">
        <v>42</v>
      </c>
      <c r="E199" s="6">
        <v>132</v>
      </c>
      <c r="F199" s="13">
        <v>45393</v>
      </c>
      <c r="G199" s="6" t="s">
        <v>402</v>
      </c>
      <c r="H199" s="6">
        <v>2999.96</v>
      </c>
      <c r="K199" s="6" t="str">
        <f t="shared" si="6"/>
        <v>insert into Orders values(1042,42,132,to_date('04/11/2024','mm/dd/yyyy'),'Shipped',2999.96);</v>
      </c>
    </row>
    <row r="203" spans="2:11" ht="15.75" customHeight="1" x14ac:dyDescent="0.3">
      <c r="B203" s="1" t="s">
        <v>403</v>
      </c>
      <c r="C203" s="2" t="s">
        <v>404</v>
      </c>
      <c r="D203" s="4" t="s">
        <v>395</v>
      </c>
      <c r="E203" s="4" t="s">
        <v>1</v>
      </c>
      <c r="F203" s="3" t="s">
        <v>405</v>
      </c>
      <c r="G203" s="3" t="s">
        <v>6</v>
      </c>
      <c r="H203" s="3" t="s">
        <v>406</v>
      </c>
    </row>
    <row r="204" spans="2:11" ht="15.75" customHeight="1" x14ac:dyDescent="0.3">
      <c r="B204" s="6" t="s">
        <v>407</v>
      </c>
      <c r="C204" s="6">
        <v>1</v>
      </c>
      <c r="D204" s="6">
        <v>1000</v>
      </c>
      <c r="E204" s="6">
        <v>1</v>
      </c>
      <c r="F204" s="6">
        <v>1</v>
      </c>
      <c r="G204" s="6">
        <v>1899.99</v>
      </c>
      <c r="H204" s="6">
        <f t="shared" ref="H204:H245" si="7">F204*G204</f>
        <v>1899.99</v>
      </c>
      <c r="K204" s="6" t="str">
        <f t="shared" ref="K204:K245" si="8">B204&amp;C204&amp;","&amp;D204&amp;","&amp;E204&amp;","&amp;F204&amp;","&amp;G204&amp;","&amp;H204&amp;");"</f>
        <v>insert into Order_Item values(1,1000,1,1,1899.99,1899.99);</v>
      </c>
    </row>
    <row r="205" spans="2:11" ht="15.75" customHeight="1" x14ac:dyDescent="0.3">
      <c r="B205" s="6" t="s">
        <v>407</v>
      </c>
      <c r="C205" s="6">
        <v>2</v>
      </c>
      <c r="D205" s="6">
        <v>1002</v>
      </c>
      <c r="E205" s="6">
        <v>2</v>
      </c>
      <c r="F205" s="6">
        <v>1</v>
      </c>
      <c r="G205" s="6">
        <v>1199</v>
      </c>
      <c r="H205" s="6">
        <f t="shared" si="7"/>
        <v>1199</v>
      </c>
      <c r="K205" s="6" t="str">
        <f t="shared" si="8"/>
        <v>insert into Order_Item values(2,1002,2,1,1199,1199);</v>
      </c>
    </row>
    <row r="206" spans="2:11" ht="15.75" customHeight="1" x14ac:dyDescent="0.3">
      <c r="B206" s="6" t="s">
        <v>407</v>
      </c>
      <c r="C206" s="6">
        <v>3</v>
      </c>
      <c r="D206" s="6">
        <v>1003</v>
      </c>
      <c r="E206" s="6">
        <v>3</v>
      </c>
      <c r="F206" s="6">
        <v>1</v>
      </c>
      <c r="G206" s="6">
        <v>1499</v>
      </c>
      <c r="H206" s="6">
        <f t="shared" si="7"/>
        <v>1499</v>
      </c>
      <c r="K206" s="6" t="str">
        <f t="shared" si="8"/>
        <v>insert into Order_Item values(3,1003,3,1,1499,1499);</v>
      </c>
    </row>
    <row r="207" spans="2:11" ht="15.75" customHeight="1" x14ac:dyDescent="0.3">
      <c r="B207" s="6" t="s">
        <v>407</v>
      </c>
      <c r="C207" s="6">
        <v>4</v>
      </c>
      <c r="D207" s="6">
        <v>1004</v>
      </c>
      <c r="E207" s="6">
        <v>4</v>
      </c>
      <c r="F207" s="6">
        <v>2</v>
      </c>
      <c r="G207" s="6">
        <v>1799.99</v>
      </c>
      <c r="H207" s="6">
        <f t="shared" si="7"/>
        <v>3599.98</v>
      </c>
      <c r="K207" s="6" t="str">
        <f t="shared" si="8"/>
        <v>insert into Order_Item values(4,1004,4,2,1799.99,3599.98);</v>
      </c>
    </row>
    <row r="208" spans="2:11" ht="15.75" customHeight="1" x14ac:dyDescent="0.3">
      <c r="B208" s="6" t="s">
        <v>407</v>
      </c>
      <c r="C208" s="6">
        <v>5</v>
      </c>
      <c r="D208" s="6">
        <v>1005</v>
      </c>
      <c r="E208" s="6">
        <v>5</v>
      </c>
      <c r="F208" s="6">
        <v>1</v>
      </c>
      <c r="G208" s="6">
        <v>329.99</v>
      </c>
      <c r="H208" s="6">
        <f t="shared" si="7"/>
        <v>329.99</v>
      </c>
      <c r="K208" s="6" t="str">
        <f t="shared" si="8"/>
        <v>insert into Order_Item values(5,1005,5,1,329.99,329.99);</v>
      </c>
    </row>
    <row r="209" spans="2:11" ht="15.75" customHeight="1" x14ac:dyDescent="0.3">
      <c r="B209" s="6" t="s">
        <v>407</v>
      </c>
      <c r="C209" s="6">
        <v>6</v>
      </c>
      <c r="D209" s="6">
        <v>1006</v>
      </c>
      <c r="E209" s="6">
        <v>6</v>
      </c>
      <c r="F209" s="6">
        <v>1</v>
      </c>
      <c r="G209" s="6">
        <v>599.99</v>
      </c>
      <c r="H209" s="6">
        <f t="shared" si="7"/>
        <v>599.99</v>
      </c>
      <c r="K209" s="6" t="str">
        <f t="shared" si="8"/>
        <v>insert into Order_Item values(6,1006,6,1,599.99,599.99);</v>
      </c>
    </row>
    <row r="210" spans="2:11" ht="15.75" customHeight="1" x14ac:dyDescent="0.3">
      <c r="B210" s="6" t="s">
        <v>407</v>
      </c>
      <c r="C210" s="6">
        <v>7</v>
      </c>
      <c r="D210" s="6">
        <v>1007</v>
      </c>
      <c r="E210" s="6">
        <v>7</v>
      </c>
      <c r="F210" s="6">
        <v>2</v>
      </c>
      <c r="G210" s="6">
        <v>119.99</v>
      </c>
      <c r="H210" s="6">
        <f t="shared" si="7"/>
        <v>239.98</v>
      </c>
      <c r="K210" s="6" t="str">
        <f t="shared" si="8"/>
        <v>insert into Order_Item values(7,1007,7,2,119.99,239.98);</v>
      </c>
    </row>
    <row r="211" spans="2:11" ht="15.75" customHeight="1" x14ac:dyDescent="0.3">
      <c r="B211" s="6" t="s">
        <v>407</v>
      </c>
      <c r="C211" s="6">
        <v>8</v>
      </c>
      <c r="D211" s="6">
        <v>1008</v>
      </c>
      <c r="E211" s="6">
        <v>8</v>
      </c>
      <c r="F211" s="6">
        <v>1</v>
      </c>
      <c r="G211" s="6">
        <v>99.99</v>
      </c>
      <c r="H211" s="6">
        <f t="shared" si="7"/>
        <v>99.99</v>
      </c>
      <c r="K211" s="6" t="str">
        <f t="shared" si="8"/>
        <v>insert into Order_Item values(8,1008,8,1,99.99,99.99);</v>
      </c>
    </row>
    <row r="212" spans="2:11" ht="15.75" customHeight="1" x14ac:dyDescent="0.3">
      <c r="B212" s="6" t="s">
        <v>407</v>
      </c>
      <c r="C212" s="6">
        <v>9</v>
      </c>
      <c r="D212" s="6">
        <v>1009</v>
      </c>
      <c r="E212" s="6">
        <v>9</v>
      </c>
      <c r="F212" s="6">
        <v>1</v>
      </c>
      <c r="G212" s="6">
        <v>129.99</v>
      </c>
      <c r="H212" s="6">
        <f t="shared" si="7"/>
        <v>129.99</v>
      </c>
      <c r="K212" s="6" t="str">
        <f t="shared" si="8"/>
        <v>insert into Order_Item values(9,1009,9,1,129.99,129.99);</v>
      </c>
    </row>
    <row r="213" spans="2:11" ht="15.75" customHeight="1" x14ac:dyDescent="0.3">
      <c r="B213" s="6" t="s">
        <v>407</v>
      </c>
      <c r="C213" s="6">
        <v>10</v>
      </c>
      <c r="D213" s="6">
        <v>1010</v>
      </c>
      <c r="E213" s="6">
        <v>10</v>
      </c>
      <c r="F213" s="6">
        <v>2</v>
      </c>
      <c r="G213" s="6">
        <v>279.99</v>
      </c>
      <c r="H213" s="6">
        <f t="shared" si="7"/>
        <v>559.98</v>
      </c>
      <c r="K213" s="6" t="str">
        <f t="shared" si="8"/>
        <v>insert into Order_Item values(10,1010,10,2,279.99,559.98);</v>
      </c>
    </row>
    <row r="214" spans="2:11" ht="15.75" customHeight="1" x14ac:dyDescent="0.3">
      <c r="B214" s="6" t="s">
        <v>407</v>
      </c>
      <c r="C214" s="6">
        <v>11</v>
      </c>
      <c r="D214" s="6">
        <v>1011</v>
      </c>
      <c r="E214" s="6">
        <v>11</v>
      </c>
      <c r="F214" s="6">
        <v>1</v>
      </c>
      <c r="G214" s="6">
        <v>2199.9899999999998</v>
      </c>
      <c r="H214" s="6">
        <f t="shared" si="7"/>
        <v>2199.9899999999998</v>
      </c>
      <c r="K214" s="6" t="str">
        <f t="shared" si="8"/>
        <v>insert into Order_Item values(11,1011,11,1,2199.99,2199.99);</v>
      </c>
    </row>
    <row r="215" spans="2:11" ht="15.75" customHeight="1" x14ac:dyDescent="0.3">
      <c r="B215" s="6" t="s">
        <v>407</v>
      </c>
      <c r="C215" s="6">
        <v>12</v>
      </c>
      <c r="D215" s="6">
        <v>1012</v>
      </c>
      <c r="E215" s="6">
        <v>12</v>
      </c>
      <c r="F215" s="6">
        <v>1</v>
      </c>
      <c r="G215" s="6">
        <v>799.99</v>
      </c>
      <c r="H215" s="6">
        <f t="shared" si="7"/>
        <v>799.99</v>
      </c>
      <c r="K215" s="6" t="str">
        <f t="shared" si="8"/>
        <v>insert into Order_Item values(12,1012,12,1,799.99,799.99);</v>
      </c>
    </row>
    <row r="216" spans="2:11" ht="15.75" customHeight="1" x14ac:dyDescent="0.3">
      <c r="B216" s="6" t="s">
        <v>407</v>
      </c>
      <c r="C216" s="6">
        <v>13</v>
      </c>
      <c r="D216" s="6">
        <v>1013</v>
      </c>
      <c r="E216" s="6">
        <v>1</v>
      </c>
      <c r="F216" s="6">
        <v>1</v>
      </c>
      <c r="G216" s="10">
        <v>1899.99</v>
      </c>
      <c r="H216" s="6">
        <f t="shared" si="7"/>
        <v>1899.99</v>
      </c>
      <c r="K216" s="6" t="str">
        <f t="shared" si="8"/>
        <v>insert into Order_Item values(13,1013,1,1,1899.99,1899.99);</v>
      </c>
    </row>
    <row r="217" spans="2:11" ht="15.75" customHeight="1" x14ac:dyDescent="0.3">
      <c r="B217" s="6" t="s">
        <v>407</v>
      </c>
      <c r="C217" s="6">
        <v>14</v>
      </c>
      <c r="D217" s="6">
        <v>1014</v>
      </c>
      <c r="E217" s="6">
        <v>2</v>
      </c>
      <c r="F217" s="6">
        <v>1</v>
      </c>
      <c r="G217" s="10">
        <v>1199</v>
      </c>
      <c r="H217" s="6">
        <f t="shared" si="7"/>
        <v>1199</v>
      </c>
      <c r="K217" s="6" t="str">
        <f t="shared" si="8"/>
        <v>insert into Order_Item values(14,1014,2,1,1199,1199);</v>
      </c>
    </row>
    <row r="218" spans="2:11" ht="15.75" customHeight="1" x14ac:dyDescent="0.3">
      <c r="B218" s="6" t="s">
        <v>407</v>
      </c>
      <c r="C218" s="6">
        <v>15</v>
      </c>
      <c r="D218" s="6">
        <v>1015</v>
      </c>
      <c r="E218" s="6">
        <v>3</v>
      </c>
      <c r="F218" s="6">
        <v>1</v>
      </c>
      <c r="G218" s="10">
        <v>1499</v>
      </c>
      <c r="H218" s="6">
        <f t="shared" si="7"/>
        <v>1499</v>
      </c>
      <c r="K218" s="6" t="str">
        <f t="shared" si="8"/>
        <v>insert into Order_Item values(15,1015,3,1,1499,1499);</v>
      </c>
    </row>
    <row r="219" spans="2:11" ht="15.75" customHeight="1" x14ac:dyDescent="0.3">
      <c r="B219" s="6" t="s">
        <v>407</v>
      </c>
      <c r="C219" s="6">
        <v>16</v>
      </c>
      <c r="D219" s="6">
        <v>1016</v>
      </c>
      <c r="E219" s="6">
        <v>4</v>
      </c>
      <c r="F219" s="6">
        <v>2</v>
      </c>
      <c r="G219" s="10">
        <v>1799.99</v>
      </c>
      <c r="H219" s="6">
        <f t="shared" si="7"/>
        <v>3599.98</v>
      </c>
      <c r="K219" s="6" t="str">
        <f t="shared" si="8"/>
        <v>insert into Order_Item values(16,1016,4,2,1799.99,3599.98);</v>
      </c>
    </row>
    <row r="220" spans="2:11" ht="15.75" customHeight="1" x14ac:dyDescent="0.3">
      <c r="B220" s="6" t="s">
        <v>407</v>
      </c>
      <c r="C220" s="6">
        <v>17</v>
      </c>
      <c r="D220" s="6">
        <v>1017</v>
      </c>
      <c r="E220" s="6">
        <v>5</v>
      </c>
      <c r="F220" s="6">
        <v>1</v>
      </c>
      <c r="G220" s="10">
        <v>329.99</v>
      </c>
      <c r="H220" s="6">
        <f t="shared" si="7"/>
        <v>329.99</v>
      </c>
      <c r="K220" s="6" t="str">
        <f t="shared" si="8"/>
        <v>insert into Order_Item values(17,1017,5,1,329.99,329.99);</v>
      </c>
    </row>
    <row r="221" spans="2:11" ht="15.75" customHeight="1" x14ac:dyDescent="0.3">
      <c r="B221" s="6" t="s">
        <v>407</v>
      </c>
      <c r="C221" s="6">
        <v>18</v>
      </c>
      <c r="D221" s="6">
        <v>1018</v>
      </c>
      <c r="E221" s="6">
        <v>6</v>
      </c>
      <c r="F221" s="6">
        <v>1</v>
      </c>
      <c r="G221" s="10">
        <v>599.99</v>
      </c>
      <c r="H221" s="6">
        <f t="shared" si="7"/>
        <v>599.99</v>
      </c>
      <c r="K221" s="6" t="str">
        <f t="shared" si="8"/>
        <v>insert into Order_Item values(18,1018,6,1,599.99,599.99);</v>
      </c>
    </row>
    <row r="222" spans="2:11" ht="15.75" customHeight="1" x14ac:dyDescent="0.3">
      <c r="B222" s="6" t="s">
        <v>407</v>
      </c>
      <c r="C222" s="6">
        <v>19</v>
      </c>
      <c r="D222" s="6">
        <v>1019</v>
      </c>
      <c r="E222" s="6">
        <v>7</v>
      </c>
      <c r="F222" s="6">
        <v>2</v>
      </c>
      <c r="G222" s="10">
        <v>119.99</v>
      </c>
      <c r="H222" s="6">
        <f t="shared" si="7"/>
        <v>239.98</v>
      </c>
      <c r="K222" s="6" t="str">
        <f t="shared" si="8"/>
        <v>insert into Order_Item values(19,1019,7,2,119.99,239.98);</v>
      </c>
    </row>
    <row r="223" spans="2:11" ht="15.75" customHeight="1" x14ac:dyDescent="0.3">
      <c r="B223" s="6" t="s">
        <v>407</v>
      </c>
      <c r="C223" s="6">
        <v>20</v>
      </c>
      <c r="D223" s="6">
        <v>1020</v>
      </c>
      <c r="E223" s="6">
        <v>8</v>
      </c>
      <c r="F223" s="6">
        <v>1</v>
      </c>
      <c r="G223" s="10">
        <v>99.99</v>
      </c>
      <c r="H223" s="6">
        <f t="shared" si="7"/>
        <v>99.99</v>
      </c>
      <c r="K223" s="6" t="str">
        <f t="shared" si="8"/>
        <v>insert into Order_Item values(20,1020,8,1,99.99,99.99);</v>
      </c>
    </row>
    <row r="224" spans="2:11" ht="15.75" customHeight="1" x14ac:dyDescent="0.3">
      <c r="B224" s="6" t="s">
        <v>407</v>
      </c>
      <c r="C224" s="6">
        <v>21</v>
      </c>
      <c r="D224" s="6">
        <v>1021</v>
      </c>
      <c r="E224" s="6">
        <v>19</v>
      </c>
      <c r="F224" s="6">
        <v>1</v>
      </c>
      <c r="G224" s="6">
        <v>129.99</v>
      </c>
      <c r="H224" s="6">
        <f t="shared" si="7"/>
        <v>129.99</v>
      </c>
      <c r="K224" s="6" t="str">
        <f t="shared" si="8"/>
        <v>insert into Order_Item values(21,1021,19,1,129.99,129.99);</v>
      </c>
    </row>
    <row r="225" spans="2:11" ht="15.75" customHeight="1" x14ac:dyDescent="0.3">
      <c r="B225" s="6" t="s">
        <v>407</v>
      </c>
      <c r="C225" s="6">
        <v>22</v>
      </c>
      <c r="D225" s="6">
        <v>1022</v>
      </c>
      <c r="E225" s="6">
        <v>10</v>
      </c>
      <c r="F225" s="6">
        <v>2</v>
      </c>
      <c r="G225" s="6">
        <v>279.99</v>
      </c>
      <c r="H225" s="6">
        <f t="shared" si="7"/>
        <v>559.98</v>
      </c>
      <c r="K225" s="6" t="str">
        <f t="shared" si="8"/>
        <v>insert into Order_Item values(22,1022,10,2,279.99,559.98);</v>
      </c>
    </row>
    <row r="226" spans="2:11" ht="15.75" customHeight="1" x14ac:dyDescent="0.3">
      <c r="B226" s="6" t="s">
        <v>407</v>
      </c>
      <c r="C226" s="6">
        <v>23</v>
      </c>
      <c r="D226" s="6">
        <v>1023</v>
      </c>
      <c r="E226" s="6">
        <v>11</v>
      </c>
      <c r="F226" s="6">
        <v>1</v>
      </c>
      <c r="G226" s="6">
        <v>2199.9899999999998</v>
      </c>
      <c r="H226" s="6">
        <f t="shared" si="7"/>
        <v>2199.9899999999998</v>
      </c>
      <c r="K226" s="6" t="str">
        <f t="shared" si="8"/>
        <v>insert into Order_Item values(23,1023,11,1,2199.99,2199.99);</v>
      </c>
    </row>
    <row r="227" spans="2:11" ht="15.75" customHeight="1" x14ac:dyDescent="0.3">
      <c r="B227" s="6" t="s">
        <v>407</v>
      </c>
      <c r="C227" s="6">
        <v>24</v>
      </c>
      <c r="D227" s="6">
        <v>1024</v>
      </c>
      <c r="E227" s="6">
        <v>12</v>
      </c>
      <c r="F227" s="6">
        <v>1</v>
      </c>
      <c r="G227" s="6">
        <v>799.99</v>
      </c>
      <c r="H227" s="6">
        <f t="shared" si="7"/>
        <v>799.99</v>
      </c>
      <c r="K227" s="6" t="str">
        <f t="shared" si="8"/>
        <v>insert into Order_Item values(24,1024,12,1,799.99,799.99);</v>
      </c>
    </row>
    <row r="228" spans="2:11" ht="15.75" customHeight="1" x14ac:dyDescent="0.3">
      <c r="B228" s="6" t="s">
        <v>407</v>
      </c>
      <c r="C228" s="6">
        <v>25</v>
      </c>
      <c r="D228" s="6">
        <v>1025</v>
      </c>
      <c r="E228" s="6">
        <v>13</v>
      </c>
      <c r="F228" s="6">
        <v>1</v>
      </c>
      <c r="G228" s="6">
        <v>749.99</v>
      </c>
      <c r="H228" s="6">
        <f t="shared" si="7"/>
        <v>749.99</v>
      </c>
      <c r="K228" s="6" t="str">
        <f t="shared" si="8"/>
        <v>insert into Order_Item values(25,1025,13,1,749.99,749.99);</v>
      </c>
    </row>
    <row r="229" spans="2:11" ht="15.75" customHeight="1" x14ac:dyDescent="0.3">
      <c r="B229" s="6" t="s">
        <v>407</v>
      </c>
      <c r="C229" s="6">
        <v>26</v>
      </c>
      <c r="D229" s="6">
        <v>1026</v>
      </c>
      <c r="E229" s="6">
        <v>14</v>
      </c>
      <c r="F229" s="6">
        <v>1</v>
      </c>
      <c r="G229" s="6">
        <v>1999</v>
      </c>
      <c r="H229" s="6">
        <f t="shared" si="7"/>
        <v>1999</v>
      </c>
      <c r="K229" s="6" t="str">
        <f t="shared" si="8"/>
        <v>insert into Order_Item values(26,1026,14,1,1999,1999);</v>
      </c>
    </row>
    <row r="230" spans="2:11" ht="15.75" customHeight="1" x14ac:dyDescent="0.3">
      <c r="B230" s="6" t="s">
        <v>407</v>
      </c>
      <c r="C230" s="6">
        <v>27</v>
      </c>
      <c r="D230" s="6">
        <v>1027</v>
      </c>
      <c r="E230" s="6">
        <v>15</v>
      </c>
      <c r="F230" s="6">
        <v>2</v>
      </c>
      <c r="G230" s="6">
        <v>1399.99</v>
      </c>
      <c r="H230" s="6">
        <f t="shared" si="7"/>
        <v>2799.98</v>
      </c>
      <c r="K230" s="6" t="str">
        <f t="shared" si="8"/>
        <v>insert into Order_Item values(27,1027,15,2,1399.99,2799.98);</v>
      </c>
    </row>
    <row r="231" spans="2:11" ht="15.75" customHeight="1" x14ac:dyDescent="0.3">
      <c r="B231" s="6" t="s">
        <v>407</v>
      </c>
      <c r="C231" s="6">
        <v>28</v>
      </c>
      <c r="D231" s="6">
        <v>1028</v>
      </c>
      <c r="E231" s="6">
        <v>16</v>
      </c>
      <c r="F231" s="6">
        <v>1</v>
      </c>
      <c r="G231" s="6">
        <v>999.99</v>
      </c>
      <c r="H231" s="6">
        <f t="shared" si="7"/>
        <v>999.99</v>
      </c>
      <c r="K231" s="6" t="str">
        <f t="shared" si="8"/>
        <v>insert into Order_Item values(28,1028,16,1,999.99,999.99);</v>
      </c>
    </row>
    <row r="232" spans="2:11" ht="15.75" customHeight="1" x14ac:dyDescent="0.3">
      <c r="B232" s="6" t="s">
        <v>407</v>
      </c>
      <c r="C232" s="6">
        <v>29</v>
      </c>
      <c r="D232" s="6">
        <v>1029</v>
      </c>
      <c r="E232" s="6">
        <v>17</v>
      </c>
      <c r="F232" s="6">
        <v>1</v>
      </c>
      <c r="G232" s="6">
        <v>399.99</v>
      </c>
      <c r="H232" s="6">
        <f t="shared" si="7"/>
        <v>399.99</v>
      </c>
      <c r="K232" s="6" t="str">
        <f t="shared" si="8"/>
        <v>insert into Order_Item values(29,1029,17,1,399.99,399.99);</v>
      </c>
    </row>
    <row r="233" spans="2:11" ht="15.75" customHeight="1" x14ac:dyDescent="0.3">
      <c r="B233" s="6" t="s">
        <v>407</v>
      </c>
      <c r="C233" s="6">
        <v>30</v>
      </c>
      <c r="D233" s="6">
        <v>1030</v>
      </c>
      <c r="E233" s="6">
        <v>18</v>
      </c>
      <c r="F233" s="6">
        <v>1</v>
      </c>
      <c r="G233" s="6">
        <v>1499.99</v>
      </c>
      <c r="H233" s="6">
        <f t="shared" si="7"/>
        <v>1499.99</v>
      </c>
      <c r="K233" s="6" t="str">
        <f t="shared" si="8"/>
        <v>insert into Order_Item values(30,1030,18,1,1499.99,1499.99);</v>
      </c>
    </row>
    <row r="234" spans="2:11" ht="15.75" customHeight="1" x14ac:dyDescent="0.3">
      <c r="B234" s="6" t="s">
        <v>407</v>
      </c>
      <c r="C234" s="6">
        <v>31</v>
      </c>
      <c r="D234" s="6">
        <v>1031</v>
      </c>
      <c r="E234" s="6">
        <v>19</v>
      </c>
      <c r="F234" s="6">
        <v>2</v>
      </c>
      <c r="G234" s="6">
        <v>129.99</v>
      </c>
      <c r="H234" s="6">
        <f t="shared" si="7"/>
        <v>259.98</v>
      </c>
      <c r="K234" s="6" t="str">
        <f t="shared" si="8"/>
        <v>insert into Order_Item values(31,1031,19,2,129.99,259.98);</v>
      </c>
    </row>
    <row r="235" spans="2:11" ht="15.75" customHeight="1" x14ac:dyDescent="0.3">
      <c r="B235" s="6" t="s">
        <v>407</v>
      </c>
      <c r="C235" s="6">
        <v>32</v>
      </c>
      <c r="D235" s="6">
        <v>1032</v>
      </c>
      <c r="E235" s="6">
        <v>20</v>
      </c>
      <c r="F235" s="6">
        <v>1</v>
      </c>
      <c r="G235" s="6">
        <v>249.99</v>
      </c>
      <c r="H235" s="6">
        <f t="shared" si="7"/>
        <v>249.99</v>
      </c>
      <c r="K235" s="6" t="str">
        <f t="shared" si="8"/>
        <v>insert into Order_Item values(32,1032,20,1,249.99,249.99);</v>
      </c>
    </row>
    <row r="236" spans="2:11" ht="15.75" customHeight="1" x14ac:dyDescent="0.3">
      <c r="B236" s="6" t="s">
        <v>407</v>
      </c>
      <c r="C236" s="6">
        <v>33</v>
      </c>
      <c r="D236" s="6">
        <v>1033</v>
      </c>
      <c r="E236" s="6">
        <v>21</v>
      </c>
      <c r="F236" s="6">
        <v>1</v>
      </c>
      <c r="G236" s="6">
        <v>699.99</v>
      </c>
      <c r="H236" s="6">
        <f t="shared" si="7"/>
        <v>699.99</v>
      </c>
      <c r="K236" s="6" t="str">
        <f t="shared" si="8"/>
        <v>insert into Order_Item values(33,1033,21,1,699.99,699.99);</v>
      </c>
    </row>
    <row r="237" spans="2:11" ht="15.75" customHeight="1" x14ac:dyDescent="0.3">
      <c r="B237" s="6" t="s">
        <v>407</v>
      </c>
      <c r="C237" s="6">
        <v>34</v>
      </c>
      <c r="D237" s="6">
        <v>1034</v>
      </c>
      <c r="E237" s="6">
        <v>22</v>
      </c>
      <c r="F237" s="6">
        <v>2</v>
      </c>
      <c r="G237" s="6">
        <v>1099.99</v>
      </c>
      <c r="H237" s="6">
        <f t="shared" si="7"/>
        <v>2199.98</v>
      </c>
      <c r="K237" s="6" t="str">
        <f t="shared" si="8"/>
        <v>insert into Order_Item values(34,1034,22,2,1099.99,2199.98);</v>
      </c>
    </row>
    <row r="238" spans="2:11" ht="15.75" customHeight="1" x14ac:dyDescent="0.3">
      <c r="B238" s="6" t="s">
        <v>407</v>
      </c>
      <c r="C238" s="6">
        <v>35</v>
      </c>
      <c r="D238" s="6">
        <v>1035</v>
      </c>
      <c r="E238" s="6">
        <v>1</v>
      </c>
      <c r="F238" s="6">
        <v>1</v>
      </c>
      <c r="G238" s="6">
        <v>1899.99</v>
      </c>
      <c r="H238" s="6">
        <f t="shared" si="7"/>
        <v>1899.99</v>
      </c>
      <c r="K238" s="6" t="str">
        <f t="shared" si="8"/>
        <v>insert into Order_Item values(35,1035,1,1,1899.99,1899.99);</v>
      </c>
    </row>
    <row r="239" spans="2:11" ht="15.75" customHeight="1" x14ac:dyDescent="0.3">
      <c r="B239" s="6" t="s">
        <v>407</v>
      </c>
      <c r="C239" s="6">
        <v>36</v>
      </c>
      <c r="D239" s="6">
        <v>1036</v>
      </c>
      <c r="E239" s="6">
        <v>2</v>
      </c>
      <c r="F239" s="6">
        <v>2</v>
      </c>
      <c r="G239" s="6">
        <v>1199</v>
      </c>
      <c r="H239" s="6">
        <f t="shared" si="7"/>
        <v>2398</v>
      </c>
      <c r="K239" s="6" t="str">
        <f t="shared" si="8"/>
        <v>insert into Order_Item values(36,1036,2,2,1199,2398);</v>
      </c>
    </row>
    <row r="240" spans="2:11" ht="15.75" customHeight="1" x14ac:dyDescent="0.3">
      <c r="B240" s="6" t="s">
        <v>407</v>
      </c>
      <c r="C240" s="6">
        <v>37</v>
      </c>
      <c r="D240" s="6">
        <v>1037</v>
      </c>
      <c r="E240" s="6">
        <v>3</v>
      </c>
      <c r="F240" s="6">
        <v>2</v>
      </c>
      <c r="G240" s="6">
        <v>1499</v>
      </c>
      <c r="H240" s="6">
        <f t="shared" si="7"/>
        <v>2998</v>
      </c>
      <c r="K240" s="6" t="str">
        <f t="shared" si="8"/>
        <v>insert into Order_Item values(37,1037,3,2,1499,2998);</v>
      </c>
    </row>
    <row r="241" spans="2:11" ht="15.75" customHeight="1" x14ac:dyDescent="0.3">
      <c r="B241" s="6" t="s">
        <v>407</v>
      </c>
      <c r="C241" s="6">
        <v>38</v>
      </c>
      <c r="D241" s="6">
        <v>1038</v>
      </c>
      <c r="E241" s="6">
        <v>16</v>
      </c>
      <c r="F241" s="6">
        <v>1</v>
      </c>
      <c r="G241" s="6">
        <v>999.99</v>
      </c>
      <c r="H241" s="6">
        <f t="shared" si="7"/>
        <v>999.99</v>
      </c>
      <c r="K241" s="6" t="str">
        <f t="shared" si="8"/>
        <v>insert into Order_Item values(38,1038,16,1,999.99,999.99);</v>
      </c>
    </row>
    <row r="242" spans="2:11" ht="15.75" customHeight="1" x14ac:dyDescent="0.3">
      <c r="B242" s="6" t="s">
        <v>407</v>
      </c>
      <c r="C242" s="6">
        <v>39</v>
      </c>
      <c r="D242" s="6">
        <v>1039</v>
      </c>
      <c r="E242" s="6">
        <v>7</v>
      </c>
      <c r="F242" s="6">
        <v>1</v>
      </c>
      <c r="G242" s="6">
        <v>1999</v>
      </c>
      <c r="H242" s="6">
        <f t="shared" si="7"/>
        <v>1999</v>
      </c>
      <c r="K242" s="6" t="str">
        <f t="shared" si="8"/>
        <v>insert into Order_Item values(39,1039,7,1,1999,1999);</v>
      </c>
    </row>
    <row r="243" spans="2:11" ht="15.75" customHeight="1" x14ac:dyDescent="0.3">
      <c r="B243" s="6" t="s">
        <v>407</v>
      </c>
      <c r="C243" s="6">
        <v>40</v>
      </c>
      <c r="D243" s="6">
        <v>1040</v>
      </c>
      <c r="E243" s="6">
        <v>11</v>
      </c>
      <c r="F243" s="6">
        <v>2</v>
      </c>
      <c r="G243" s="6">
        <v>2199.9899999999998</v>
      </c>
      <c r="H243" s="6">
        <f t="shared" si="7"/>
        <v>4399.9799999999996</v>
      </c>
      <c r="K243" s="6" t="str">
        <f t="shared" si="8"/>
        <v>insert into Order_Item values(40,1040,11,2,2199.99,4399.98);</v>
      </c>
    </row>
    <row r="244" spans="2:11" ht="15.75" customHeight="1" x14ac:dyDescent="0.3">
      <c r="B244" s="6" t="s">
        <v>407</v>
      </c>
      <c r="C244" s="6">
        <v>41</v>
      </c>
      <c r="D244" s="6">
        <v>1041</v>
      </c>
      <c r="E244" s="6">
        <v>20</v>
      </c>
      <c r="F244" s="6">
        <v>3</v>
      </c>
      <c r="G244" s="6">
        <v>249.99</v>
      </c>
      <c r="H244" s="6">
        <f t="shared" si="7"/>
        <v>749.97</v>
      </c>
      <c r="K244" s="6" t="str">
        <f t="shared" si="8"/>
        <v>insert into Order_Item values(41,1041,20,3,249.99,749.97);</v>
      </c>
    </row>
    <row r="245" spans="2:11" ht="15.75" customHeight="1" x14ac:dyDescent="0.3">
      <c r="B245" s="6" t="s">
        <v>407</v>
      </c>
      <c r="C245" s="6">
        <v>42</v>
      </c>
      <c r="D245" s="6">
        <v>1042</v>
      </c>
      <c r="E245" s="6">
        <v>13</v>
      </c>
      <c r="F245" s="6">
        <v>4</v>
      </c>
      <c r="G245" s="6">
        <v>749.99</v>
      </c>
      <c r="H245" s="6">
        <f t="shared" si="7"/>
        <v>2999.96</v>
      </c>
      <c r="K245" s="6" t="str">
        <f t="shared" si="8"/>
        <v>insert into Order_Item values(42,1042,13,4,749.99,2999.96);</v>
      </c>
    </row>
    <row r="256" spans="2:11" ht="15.75" customHeight="1" x14ac:dyDescent="0.3">
      <c r="B256" s="1" t="s">
        <v>408</v>
      </c>
      <c r="C256" s="2" t="s">
        <v>409</v>
      </c>
      <c r="D256" s="4" t="s">
        <v>395</v>
      </c>
      <c r="E256" s="3" t="s">
        <v>410</v>
      </c>
      <c r="F256" s="3" t="s">
        <v>411</v>
      </c>
      <c r="G256" s="3" t="s">
        <v>412</v>
      </c>
      <c r="H256" s="3" t="s">
        <v>398</v>
      </c>
      <c r="I256" s="3" t="s">
        <v>413</v>
      </c>
    </row>
    <row r="257" spans="2:11" ht="15.75" customHeight="1" x14ac:dyDescent="0.3">
      <c r="B257" s="6" t="s">
        <v>414</v>
      </c>
      <c r="C257" s="6">
        <v>1</v>
      </c>
      <c r="D257" s="6">
        <v>1000</v>
      </c>
      <c r="E257" s="6" t="s">
        <v>415</v>
      </c>
      <c r="F257" s="6">
        <v>1899.99</v>
      </c>
      <c r="G257" s="13">
        <v>45352</v>
      </c>
      <c r="H257" s="6" t="s">
        <v>416</v>
      </c>
      <c r="I257" s="6" t="s">
        <v>417</v>
      </c>
      <c r="K257" s="6" t="str">
        <f t="shared" ref="K257:K298" si="9">B257&amp;C257&amp;","&amp;D257&amp;",'"&amp;E257&amp;"',"&amp;F257&amp;",to_date('"&amp;TEXT(G257,"mm/dd/yyyy")&amp;"','mm/dd/yyyy'),'"&amp;H257&amp;"','"&amp;I257&amp;"');"</f>
        <v>insert into Payment values(1,1000,'Debit Card',1899.99,to_date('03/01/2024','mm/dd/yyyy'),'Completed','TXN-1001');</v>
      </c>
    </row>
    <row r="258" spans="2:11" ht="15.75" customHeight="1" x14ac:dyDescent="0.3">
      <c r="B258" s="6" t="s">
        <v>414</v>
      </c>
      <c r="C258" s="6">
        <v>2</v>
      </c>
      <c r="D258" s="6">
        <v>1002</v>
      </c>
      <c r="E258" s="6" t="s">
        <v>418</v>
      </c>
      <c r="F258" s="6">
        <v>1199</v>
      </c>
      <c r="G258" s="13">
        <v>45353</v>
      </c>
      <c r="H258" s="6" t="s">
        <v>416</v>
      </c>
      <c r="I258" s="6" t="s">
        <v>419</v>
      </c>
      <c r="K258" s="6" t="str">
        <f t="shared" si="9"/>
        <v>insert into Payment values(2,1002,'Credit Card',1199,to_date('03/02/2024','mm/dd/yyyy'),'Completed','TXN-1002');</v>
      </c>
    </row>
    <row r="259" spans="2:11" ht="15.75" customHeight="1" x14ac:dyDescent="0.3">
      <c r="B259" s="6" t="s">
        <v>414</v>
      </c>
      <c r="C259" s="6">
        <v>3</v>
      </c>
      <c r="D259" s="6">
        <v>1003</v>
      </c>
      <c r="E259" s="6" t="s">
        <v>415</v>
      </c>
      <c r="F259" s="6">
        <v>1499</v>
      </c>
      <c r="G259" s="13">
        <v>45354</v>
      </c>
      <c r="H259" s="6" t="s">
        <v>416</v>
      </c>
      <c r="I259" s="6" t="s">
        <v>420</v>
      </c>
      <c r="K259" s="6" t="str">
        <f t="shared" si="9"/>
        <v>insert into Payment values(3,1003,'Debit Card',1499,to_date('03/03/2024','mm/dd/yyyy'),'Completed','TXN-1003');</v>
      </c>
    </row>
    <row r="260" spans="2:11" ht="15.75" customHeight="1" x14ac:dyDescent="0.3">
      <c r="B260" s="6" t="s">
        <v>414</v>
      </c>
      <c r="C260" s="6">
        <v>4</v>
      </c>
      <c r="D260" s="6">
        <v>1004</v>
      </c>
      <c r="E260" s="6" t="s">
        <v>418</v>
      </c>
      <c r="F260" s="6">
        <v>3599.98</v>
      </c>
      <c r="G260" s="13">
        <v>45355</v>
      </c>
      <c r="H260" s="6" t="s">
        <v>416</v>
      </c>
      <c r="I260" s="6" t="s">
        <v>421</v>
      </c>
      <c r="K260" s="6" t="str">
        <f t="shared" si="9"/>
        <v>insert into Payment values(4,1004,'Credit Card',3599.98,to_date('03/04/2024','mm/dd/yyyy'),'Completed','TXN-1004');</v>
      </c>
    </row>
    <row r="261" spans="2:11" ht="15.75" customHeight="1" x14ac:dyDescent="0.3">
      <c r="B261" s="6" t="s">
        <v>414</v>
      </c>
      <c r="C261" s="6">
        <v>5</v>
      </c>
      <c r="D261" s="6">
        <v>1005</v>
      </c>
      <c r="E261" s="6" t="s">
        <v>415</v>
      </c>
      <c r="F261" s="6">
        <v>329.99</v>
      </c>
      <c r="G261" s="13">
        <v>45356</v>
      </c>
      <c r="H261" s="6" t="s">
        <v>416</v>
      </c>
      <c r="I261" s="6" t="s">
        <v>422</v>
      </c>
      <c r="K261" s="6" t="str">
        <f t="shared" si="9"/>
        <v>insert into Payment values(5,1005,'Debit Card',329.99,to_date('03/05/2024','mm/dd/yyyy'),'Completed','TXN-1005');</v>
      </c>
    </row>
    <row r="262" spans="2:11" ht="15.75" customHeight="1" x14ac:dyDescent="0.3">
      <c r="B262" s="6" t="s">
        <v>414</v>
      </c>
      <c r="C262" s="6">
        <v>6</v>
      </c>
      <c r="D262" s="6">
        <v>1006</v>
      </c>
      <c r="E262" s="6" t="s">
        <v>418</v>
      </c>
      <c r="F262" s="6">
        <v>599.99</v>
      </c>
      <c r="G262" s="13">
        <v>45357</v>
      </c>
      <c r="H262" s="6" t="s">
        <v>416</v>
      </c>
      <c r="I262" s="6" t="s">
        <v>423</v>
      </c>
      <c r="K262" s="6" t="str">
        <f t="shared" si="9"/>
        <v>insert into Payment values(6,1006,'Credit Card',599.99,to_date('03/06/2024','mm/dd/yyyy'),'Completed','TXN-1006');</v>
      </c>
    </row>
    <row r="263" spans="2:11" ht="15.75" customHeight="1" x14ac:dyDescent="0.3">
      <c r="B263" s="6" t="s">
        <v>414</v>
      </c>
      <c r="C263" s="6">
        <v>7</v>
      </c>
      <c r="D263" s="6">
        <v>1007</v>
      </c>
      <c r="E263" s="6" t="s">
        <v>415</v>
      </c>
      <c r="F263" s="6">
        <v>239.98</v>
      </c>
      <c r="G263" s="13">
        <v>45358</v>
      </c>
      <c r="H263" s="6" t="s">
        <v>416</v>
      </c>
      <c r="I263" s="6" t="s">
        <v>424</v>
      </c>
      <c r="K263" s="6" t="str">
        <f t="shared" si="9"/>
        <v>insert into Payment values(7,1007,'Debit Card',239.98,to_date('03/07/2024','mm/dd/yyyy'),'Completed','TXN-1007');</v>
      </c>
    </row>
    <row r="264" spans="2:11" ht="15.75" customHeight="1" x14ac:dyDescent="0.3">
      <c r="B264" s="6" t="s">
        <v>414</v>
      </c>
      <c r="C264" s="6">
        <v>8</v>
      </c>
      <c r="D264" s="6">
        <v>1008</v>
      </c>
      <c r="E264" s="6" t="s">
        <v>418</v>
      </c>
      <c r="F264" s="6">
        <v>99.99</v>
      </c>
      <c r="G264" s="13">
        <v>45359</v>
      </c>
      <c r="H264" s="6" t="s">
        <v>416</v>
      </c>
      <c r="I264" s="6" t="s">
        <v>425</v>
      </c>
      <c r="K264" s="6" t="str">
        <f t="shared" si="9"/>
        <v>insert into Payment values(8,1008,'Credit Card',99.99,to_date('03/08/2024','mm/dd/yyyy'),'Completed','TXN-1008');</v>
      </c>
    </row>
    <row r="265" spans="2:11" ht="15.75" customHeight="1" x14ac:dyDescent="0.3">
      <c r="B265" s="6" t="s">
        <v>414</v>
      </c>
      <c r="C265" s="6">
        <v>9</v>
      </c>
      <c r="D265" s="6">
        <v>1009</v>
      </c>
      <c r="E265" s="6" t="s">
        <v>415</v>
      </c>
      <c r="F265" s="6">
        <v>129.99</v>
      </c>
      <c r="G265" s="13">
        <v>45360</v>
      </c>
      <c r="H265" s="6" t="s">
        <v>416</v>
      </c>
      <c r="I265" s="6" t="s">
        <v>426</v>
      </c>
      <c r="K265" s="6" t="str">
        <f t="shared" si="9"/>
        <v>insert into Payment values(9,1009,'Debit Card',129.99,to_date('03/09/2024','mm/dd/yyyy'),'Completed','TXN-1009');</v>
      </c>
    </row>
    <row r="266" spans="2:11" ht="15.75" customHeight="1" x14ac:dyDescent="0.3">
      <c r="B266" s="6" t="s">
        <v>414</v>
      </c>
      <c r="C266" s="6">
        <v>10</v>
      </c>
      <c r="D266" s="6">
        <v>1010</v>
      </c>
      <c r="E266" s="6" t="s">
        <v>418</v>
      </c>
      <c r="F266" s="6">
        <v>559.98</v>
      </c>
      <c r="G266" s="13">
        <v>45361</v>
      </c>
      <c r="H266" s="6" t="s">
        <v>416</v>
      </c>
      <c r="I266" s="6" t="s">
        <v>427</v>
      </c>
      <c r="K266" s="6" t="str">
        <f t="shared" si="9"/>
        <v>insert into Payment values(10,1010,'Credit Card',559.98,to_date('03/10/2024','mm/dd/yyyy'),'Completed','TXN-1010');</v>
      </c>
    </row>
    <row r="267" spans="2:11" ht="15.75" customHeight="1" x14ac:dyDescent="0.3">
      <c r="B267" s="6" t="s">
        <v>414</v>
      </c>
      <c r="C267" s="6">
        <v>11</v>
      </c>
      <c r="D267" s="6">
        <v>1011</v>
      </c>
      <c r="E267" s="6" t="s">
        <v>415</v>
      </c>
      <c r="F267" s="6">
        <v>2199.9899999999998</v>
      </c>
      <c r="G267" s="13">
        <v>45362</v>
      </c>
      <c r="H267" s="6" t="s">
        <v>416</v>
      </c>
      <c r="I267" s="6" t="s">
        <v>428</v>
      </c>
      <c r="K267" s="6" t="str">
        <f t="shared" si="9"/>
        <v>insert into Payment values(11,1011,'Debit Card',2199.99,to_date('03/11/2024','mm/dd/yyyy'),'Completed','TXN-1011');</v>
      </c>
    </row>
    <row r="268" spans="2:11" ht="15.75" customHeight="1" x14ac:dyDescent="0.3">
      <c r="B268" s="6" t="s">
        <v>414</v>
      </c>
      <c r="C268" s="6">
        <v>12</v>
      </c>
      <c r="D268" s="6">
        <v>1012</v>
      </c>
      <c r="E268" s="6" t="s">
        <v>418</v>
      </c>
      <c r="F268" s="6">
        <v>799.99</v>
      </c>
      <c r="G268" s="13">
        <v>45363</v>
      </c>
      <c r="H268" s="6" t="s">
        <v>416</v>
      </c>
      <c r="I268" s="6" t="s">
        <v>429</v>
      </c>
      <c r="K268" s="6" t="str">
        <f t="shared" si="9"/>
        <v>insert into Payment values(12,1012,'Credit Card',799.99,to_date('03/12/2024','mm/dd/yyyy'),'Completed','TXN-1012');</v>
      </c>
    </row>
    <row r="269" spans="2:11" ht="15.75" customHeight="1" x14ac:dyDescent="0.3">
      <c r="B269" s="6" t="s">
        <v>414</v>
      </c>
      <c r="C269" s="6">
        <v>13</v>
      </c>
      <c r="D269" s="6">
        <v>1013</v>
      </c>
      <c r="E269" s="6" t="s">
        <v>418</v>
      </c>
      <c r="F269" s="6">
        <v>749.99</v>
      </c>
      <c r="G269" s="13">
        <v>45364</v>
      </c>
      <c r="H269" s="6" t="s">
        <v>416</v>
      </c>
      <c r="I269" s="6" t="s">
        <v>430</v>
      </c>
      <c r="K269" s="6" t="str">
        <f t="shared" si="9"/>
        <v>insert into Payment values(13,1013,'Credit Card',749.99,to_date('03/13/2024','mm/dd/yyyy'),'Completed','TXN-1013');</v>
      </c>
    </row>
    <row r="270" spans="2:11" ht="15.75" customHeight="1" x14ac:dyDescent="0.3">
      <c r="B270" s="6" t="s">
        <v>414</v>
      </c>
      <c r="C270" s="6">
        <v>14</v>
      </c>
      <c r="D270" s="6">
        <v>1014</v>
      </c>
      <c r="E270" s="6" t="s">
        <v>418</v>
      </c>
      <c r="F270" s="6">
        <v>1999</v>
      </c>
      <c r="G270" s="13">
        <v>45365</v>
      </c>
      <c r="H270" s="6" t="s">
        <v>416</v>
      </c>
      <c r="I270" s="6" t="s">
        <v>431</v>
      </c>
      <c r="K270" s="6" t="str">
        <f t="shared" si="9"/>
        <v>insert into Payment values(14,1014,'Credit Card',1999,to_date('03/14/2024','mm/dd/yyyy'),'Completed','TXN-1014');</v>
      </c>
    </row>
    <row r="271" spans="2:11" ht="15.75" customHeight="1" x14ac:dyDescent="0.3">
      <c r="B271" s="6" t="s">
        <v>414</v>
      </c>
      <c r="C271" s="6">
        <v>15</v>
      </c>
      <c r="D271" s="6">
        <v>1015</v>
      </c>
      <c r="E271" s="6" t="s">
        <v>418</v>
      </c>
      <c r="F271" s="6">
        <v>2799.98</v>
      </c>
      <c r="G271" s="13">
        <v>45366</v>
      </c>
      <c r="H271" s="6" t="s">
        <v>416</v>
      </c>
      <c r="I271" s="6" t="s">
        <v>432</v>
      </c>
      <c r="K271" s="6" t="str">
        <f t="shared" si="9"/>
        <v>insert into Payment values(15,1015,'Credit Card',2799.98,to_date('03/15/2024','mm/dd/yyyy'),'Completed','TXN-1015');</v>
      </c>
    </row>
    <row r="272" spans="2:11" ht="15.75" customHeight="1" x14ac:dyDescent="0.3">
      <c r="B272" s="6" t="s">
        <v>414</v>
      </c>
      <c r="C272" s="6">
        <v>16</v>
      </c>
      <c r="D272" s="6">
        <v>1016</v>
      </c>
      <c r="E272" s="6" t="s">
        <v>418</v>
      </c>
      <c r="F272" s="6">
        <v>999.99</v>
      </c>
      <c r="G272" s="13">
        <v>45367</v>
      </c>
      <c r="H272" s="6" t="s">
        <v>416</v>
      </c>
      <c r="I272" s="6" t="s">
        <v>433</v>
      </c>
      <c r="K272" s="6" t="str">
        <f t="shared" si="9"/>
        <v>insert into Payment values(16,1016,'Credit Card',999.99,to_date('03/16/2024','mm/dd/yyyy'),'Completed','TXN-1016');</v>
      </c>
    </row>
    <row r="273" spans="2:11" ht="15.75" customHeight="1" x14ac:dyDescent="0.3">
      <c r="B273" s="6" t="s">
        <v>414</v>
      </c>
      <c r="C273" s="6">
        <v>17</v>
      </c>
      <c r="D273" s="6">
        <v>1017</v>
      </c>
      <c r="E273" s="6" t="s">
        <v>418</v>
      </c>
      <c r="F273" s="6">
        <v>399.99</v>
      </c>
      <c r="G273" s="13">
        <v>45368</v>
      </c>
      <c r="H273" s="6" t="s">
        <v>416</v>
      </c>
      <c r="I273" s="6" t="s">
        <v>434</v>
      </c>
      <c r="K273" s="6" t="str">
        <f t="shared" si="9"/>
        <v>insert into Payment values(17,1017,'Credit Card',399.99,to_date('03/17/2024','mm/dd/yyyy'),'Completed','TXN-1017');</v>
      </c>
    </row>
    <row r="274" spans="2:11" ht="15.75" customHeight="1" x14ac:dyDescent="0.3">
      <c r="B274" s="6" t="s">
        <v>414</v>
      </c>
      <c r="C274" s="6">
        <v>18</v>
      </c>
      <c r="D274" s="6">
        <v>1018</v>
      </c>
      <c r="E274" s="6" t="s">
        <v>418</v>
      </c>
      <c r="F274" s="6">
        <v>1499.99</v>
      </c>
      <c r="G274" s="13">
        <v>45369</v>
      </c>
      <c r="H274" s="6" t="s">
        <v>416</v>
      </c>
      <c r="I274" s="6" t="s">
        <v>435</v>
      </c>
      <c r="K274" s="6" t="str">
        <f t="shared" si="9"/>
        <v>insert into Payment values(18,1018,'Credit Card',1499.99,to_date('03/18/2024','mm/dd/yyyy'),'Completed','TXN-1018');</v>
      </c>
    </row>
    <row r="275" spans="2:11" ht="15.75" customHeight="1" x14ac:dyDescent="0.3">
      <c r="B275" s="6" t="s">
        <v>414</v>
      </c>
      <c r="C275" s="6">
        <v>19</v>
      </c>
      <c r="D275" s="6">
        <v>1019</v>
      </c>
      <c r="E275" s="6" t="s">
        <v>418</v>
      </c>
      <c r="F275" s="6">
        <v>259.98</v>
      </c>
      <c r="G275" s="13">
        <v>45370</v>
      </c>
      <c r="H275" s="6" t="s">
        <v>416</v>
      </c>
      <c r="I275" s="6" t="s">
        <v>436</v>
      </c>
      <c r="K275" s="6" t="str">
        <f t="shared" si="9"/>
        <v>insert into Payment values(19,1019,'Credit Card',259.98,to_date('03/19/2024','mm/dd/yyyy'),'Completed','TXN-1019');</v>
      </c>
    </row>
    <row r="276" spans="2:11" ht="15.75" customHeight="1" x14ac:dyDescent="0.3">
      <c r="B276" s="6" t="s">
        <v>414</v>
      </c>
      <c r="C276" s="6">
        <v>20</v>
      </c>
      <c r="D276" s="6">
        <v>1020</v>
      </c>
      <c r="E276" s="6" t="s">
        <v>418</v>
      </c>
      <c r="F276" s="6">
        <v>249.99</v>
      </c>
      <c r="G276" s="13">
        <v>45371</v>
      </c>
      <c r="H276" s="6" t="s">
        <v>416</v>
      </c>
      <c r="I276" s="6" t="s">
        <v>437</v>
      </c>
      <c r="K276" s="6" t="str">
        <f t="shared" si="9"/>
        <v>insert into Payment values(20,1020,'Credit Card',249.99,to_date('03/20/2024','mm/dd/yyyy'),'Completed','TXN-1020');</v>
      </c>
    </row>
    <row r="277" spans="2:11" ht="15.75" customHeight="1" x14ac:dyDescent="0.3">
      <c r="B277" s="6" t="s">
        <v>414</v>
      </c>
      <c r="C277" s="6">
        <v>21</v>
      </c>
      <c r="D277" s="6">
        <v>1021</v>
      </c>
      <c r="E277" s="6" t="s">
        <v>418</v>
      </c>
      <c r="F277" s="6">
        <v>699.99</v>
      </c>
      <c r="G277" s="13">
        <v>45372</v>
      </c>
      <c r="H277" s="6" t="s">
        <v>416</v>
      </c>
      <c r="I277" s="6" t="s">
        <v>438</v>
      </c>
      <c r="K277" s="6" t="str">
        <f t="shared" si="9"/>
        <v>insert into Payment values(21,1021,'Credit Card',699.99,to_date('03/21/2024','mm/dd/yyyy'),'Completed','TXN-1021');</v>
      </c>
    </row>
    <row r="278" spans="2:11" ht="15.75" customHeight="1" x14ac:dyDescent="0.3">
      <c r="B278" s="6" t="s">
        <v>414</v>
      </c>
      <c r="C278" s="6">
        <v>22</v>
      </c>
      <c r="D278" s="6">
        <v>1022</v>
      </c>
      <c r="E278" s="6" t="s">
        <v>418</v>
      </c>
      <c r="F278" s="6">
        <v>2199.98</v>
      </c>
      <c r="G278" s="13">
        <v>45373</v>
      </c>
      <c r="H278" s="6" t="s">
        <v>416</v>
      </c>
      <c r="I278" s="6" t="s">
        <v>439</v>
      </c>
      <c r="K278" s="6" t="str">
        <f t="shared" si="9"/>
        <v>insert into Payment values(22,1022,'Credit Card',2199.98,to_date('03/22/2024','mm/dd/yyyy'),'Completed','TXN-1022');</v>
      </c>
    </row>
    <row r="279" spans="2:11" ht="15.75" customHeight="1" x14ac:dyDescent="0.3">
      <c r="B279" s="6" t="s">
        <v>414</v>
      </c>
      <c r="C279" s="6">
        <v>23</v>
      </c>
      <c r="D279" s="6">
        <v>1023</v>
      </c>
      <c r="E279" s="6" t="s">
        <v>418</v>
      </c>
      <c r="F279" s="6">
        <v>1899.99</v>
      </c>
      <c r="G279" s="13">
        <v>45374</v>
      </c>
      <c r="H279" s="6" t="s">
        <v>416</v>
      </c>
      <c r="I279" s="6" t="s">
        <v>440</v>
      </c>
      <c r="K279" s="6" t="str">
        <f t="shared" si="9"/>
        <v>insert into Payment values(23,1023,'Credit Card',1899.99,to_date('03/23/2024','mm/dd/yyyy'),'Completed','TXN-1023');</v>
      </c>
    </row>
    <row r="280" spans="2:11" ht="15.75" customHeight="1" x14ac:dyDescent="0.3">
      <c r="B280" s="6" t="s">
        <v>414</v>
      </c>
      <c r="C280" s="6">
        <v>24</v>
      </c>
      <c r="D280" s="6">
        <v>1024</v>
      </c>
      <c r="E280" s="6" t="s">
        <v>418</v>
      </c>
      <c r="F280" s="6">
        <v>2398</v>
      </c>
      <c r="G280" s="13">
        <v>45375</v>
      </c>
      <c r="H280" s="6" t="s">
        <v>416</v>
      </c>
      <c r="I280" s="6" t="s">
        <v>441</v>
      </c>
      <c r="K280" s="6" t="str">
        <f t="shared" si="9"/>
        <v>insert into Payment values(24,1024,'Credit Card',2398,to_date('03/24/2024','mm/dd/yyyy'),'Completed','TXN-1024');</v>
      </c>
    </row>
    <row r="281" spans="2:11" ht="15.75" customHeight="1" x14ac:dyDescent="0.3">
      <c r="B281" s="6" t="s">
        <v>414</v>
      </c>
      <c r="C281" s="6">
        <v>25</v>
      </c>
      <c r="D281" s="6">
        <v>1025</v>
      </c>
      <c r="E281" s="6" t="s">
        <v>418</v>
      </c>
      <c r="F281" s="6">
        <v>1499</v>
      </c>
      <c r="G281" s="13">
        <v>45376</v>
      </c>
      <c r="H281" s="6" t="s">
        <v>416</v>
      </c>
      <c r="I281" s="6" t="s">
        <v>442</v>
      </c>
      <c r="K281" s="6" t="str">
        <f t="shared" si="9"/>
        <v>insert into Payment values(25,1025,'Credit Card',1499,to_date('03/25/2024','mm/dd/yyyy'),'Completed','TXN-1025');</v>
      </c>
    </row>
    <row r="282" spans="2:11" ht="15.75" customHeight="1" x14ac:dyDescent="0.3">
      <c r="B282" s="6" t="s">
        <v>414</v>
      </c>
      <c r="C282" s="6">
        <v>26</v>
      </c>
      <c r="D282" s="6">
        <v>1026</v>
      </c>
      <c r="E282" s="6" t="s">
        <v>418</v>
      </c>
      <c r="F282" s="6">
        <v>1799.99</v>
      </c>
      <c r="G282" s="13">
        <v>45377</v>
      </c>
      <c r="H282" s="6" t="s">
        <v>416</v>
      </c>
      <c r="I282" s="6" t="s">
        <v>443</v>
      </c>
      <c r="K282" s="6" t="str">
        <f t="shared" si="9"/>
        <v>insert into Payment values(26,1026,'Credit Card',1799.99,to_date('03/26/2024','mm/dd/yyyy'),'Completed','TXN-1026');</v>
      </c>
    </row>
    <row r="283" spans="2:11" ht="15.75" customHeight="1" x14ac:dyDescent="0.3">
      <c r="B283" s="6" t="s">
        <v>414</v>
      </c>
      <c r="C283" s="6">
        <v>27</v>
      </c>
      <c r="D283" s="6">
        <v>1027</v>
      </c>
      <c r="E283" s="6" t="s">
        <v>418</v>
      </c>
      <c r="F283" s="6">
        <v>659.98</v>
      </c>
      <c r="G283" s="13">
        <v>45378</v>
      </c>
      <c r="H283" s="6" t="s">
        <v>416</v>
      </c>
      <c r="I283" s="6" t="s">
        <v>444</v>
      </c>
      <c r="K283" s="6" t="str">
        <f t="shared" si="9"/>
        <v>insert into Payment values(27,1027,'Credit Card',659.98,to_date('03/27/2024','mm/dd/yyyy'),'Completed','TXN-1027');</v>
      </c>
    </row>
    <row r="284" spans="2:11" ht="15.75" customHeight="1" x14ac:dyDescent="0.3">
      <c r="B284" s="6" t="s">
        <v>414</v>
      </c>
      <c r="C284" s="6">
        <v>28</v>
      </c>
      <c r="D284" s="6">
        <v>1028</v>
      </c>
      <c r="E284" s="6" t="s">
        <v>418</v>
      </c>
      <c r="F284" s="6">
        <v>1199.98</v>
      </c>
      <c r="G284" s="13">
        <v>45379</v>
      </c>
      <c r="H284" s="6" t="s">
        <v>416</v>
      </c>
      <c r="I284" s="6" t="s">
        <v>445</v>
      </c>
      <c r="K284" s="6" t="str">
        <f t="shared" si="9"/>
        <v>insert into Payment values(28,1028,'Credit Card',1199.98,to_date('03/28/2024','mm/dd/yyyy'),'Completed','TXN-1028');</v>
      </c>
    </row>
    <row r="285" spans="2:11" ht="15.75" customHeight="1" x14ac:dyDescent="0.3">
      <c r="B285" s="6" t="s">
        <v>414</v>
      </c>
      <c r="C285" s="6">
        <v>29</v>
      </c>
      <c r="D285" s="6">
        <v>1029</v>
      </c>
      <c r="E285" s="6" t="s">
        <v>418</v>
      </c>
      <c r="F285" s="6">
        <v>119.99</v>
      </c>
      <c r="G285" s="13">
        <v>45380</v>
      </c>
      <c r="H285" s="6" t="s">
        <v>416</v>
      </c>
      <c r="I285" s="6" t="s">
        <v>446</v>
      </c>
      <c r="K285" s="6" t="str">
        <f t="shared" si="9"/>
        <v>insert into Payment values(29,1029,'Credit Card',119.99,to_date('03/29/2024','mm/dd/yyyy'),'Completed','TXN-1029');</v>
      </c>
    </row>
    <row r="286" spans="2:11" ht="15.75" customHeight="1" x14ac:dyDescent="0.3">
      <c r="B286" s="6" t="s">
        <v>414</v>
      </c>
      <c r="C286" s="6">
        <v>30</v>
      </c>
      <c r="D286" s="6">
        <v>1030</v>
      </c>
      <c r="E286" s="6" t="s">
        <v>418</v>
      </c>
      <c r="F286" s="6">
        <v>199.98</v>
      </c>
      <c r="G286" s="13">
        <v>45381</v>
      </c>
      <c r="H286" s="6" t="s">
        <v>416</v>
      </c>
      <c r="I286" s="6" t="s">
        <v>447</v>
      </c>
      <c r="K286" s="6" t="str">
        <f t="shared" si="9"/>
        <v>insert into Payment values(30,1030,'Credit Card',199.98,to_date('03/30/2024','mm/dd/yyyy'),'Completed','TXN-1030');</v>
      </c>
    </row>
    <row r="287" spans="2:11" ht="15.75" customHeight="1" x14ac:dyDescent="0.3">
      <c r="B287" s="6" t="s">
        <v>414</v>
      </c>
      <c r="C287" s="6">
        <v>31</v>
      </c>
      <c r="D287" s="6">
        <v>1031</v>
      </c>
      <c r="E287" s="6" t="s">
        <v>418</v>
      </c>
      <c r="F287" s="6">
        <v>129.99</v>
      </c>
      <c r="G287" s="13">
        <v>45382</v>
      </c>
      <c r="H287" s="6" t="s">
        <v>416</v>
      </c>
      <c r="I287" s="6" t="s">
        <v>448</v>
      </c>
      <c r="K287" s="6" t="str">
        <f t="shared" si="9"/>
        <v>insert into Payment values(31,1031,'Credit Card',129.99,to_date('03/31/2024','mm/dd/yyyy'),'Completed','TXN-1031');</v>
      </c>
    </row>
    <row r="288" spans="2:11" ht="15.75" customHeight="1" x14ac:dyDescent="0.3">
      <c r="B288" s="6" t="s">
        <v>414</v>
      </c>
      <c r="C288" s="6">
        <v>32</v>
      </c>
      <c r="D288" s="6">
        <v>1032</v>
      </c>
      <c r="E288" s="6" t="s">
        <v>418</v>
      </c>
      <c r="F288" s="6">
        <v>559.98</v>
      </c>
      <c r="G288" s="13">
        <v>45383</v>
      </c>
      <c r="H288" s="6" t="s">
        <v>416</v>
      </c>
      <c r="I288" s="6" t="s">
        <v>449</v>
      </c>
      <c r="K288" s="6" t="str">
        <f t="shared" si="9"/>
        <v>insert into Payment values(32,1032,'Credit Card',559.98,to_date('04/01/2024','mm/dd/yyyy'),'Completed','TXN-1032');</v>
      </c>
    </row>
    <row r="289" spans="2:11" ht="15.75" customHeight="1" x14ac:dyDescent="0.3">
      <c r="B289" s="6" t="s">
        <v>414</v>
      </c>
      <c r="C289" s="6">
        <v>33</v>
      </c>
      <c r="D289" s="6">
        <v>1033</v>
      </c>
      <c r="E289" s="6" t="s">
        <v>418</v>
      </c>
      <c r="F289" s="6">
        <v>2199.9899999999998</v>
      </c>
      <c r="G289" s="13">
        <v>45384</v>
      </c>
      <c r="H289" s="6" t="s">
        <v>416</v>
      </c>
      <c r="I289" s="6" t="s">
        <v>450</v>
      </c>
      <c r="K289" s="6" t="str">
        <f t="shared" si="9"/>
        <v>insert into Payment values(33,1033,'Credit Card',2199.99,to_date('04/02/2024','mm/dd/yyyy'),'Completed','TXN-1033');</v>
      </c>
    </row>
    <row r="290" spans="2:11" ht="15.75" customHeight="1" x14ac:dyDescent="0.3">
      <c r="B290" s="6" t="s">
        <v>414</v>
      </c>
      <c r="C290" s="6">
        <v>34</v>
      </c>
      <c r="D290" s="6">
        <v>1034</v>
      </c>
      <c r="E290" s="6" t="s">
        <v>418</v>
      </c>
      <c r="F290" s="6">
        <v>1599.98</v>
      </c>
      <c r="G290" s="13">
        <v>45385</v>
      </c>
      <c r="H290" s="6" t="s">
        <v>416</v>
      </c>
      <c r="I290" s="6" t="s">
        <v>451</v>
      </c>
      <c r="K290" s="6" t="str">
        <f t="shared" si="9"/>
        <v>insert into Payment values(34,1034,'Credit Card',1599.98,to_date('04/03/2024','mm/dd/yyyy'),'Completed','TXN-1034');</v>
      </c>
    </row>
    <row r="291" spans="2:11" ht="15.75" customHeight="1" x14ac:dyDescent="0.3">
      <c r="B291" s="6" t="s">
        <v>414</v>
      </c>
      <c r="C291" s="6">
        <v>35</v>
      </c>
      <c r="D291" s="6">
        <v>1035</v>
      </c>
      <c r="E291" s="6" t="s">
        <v>418</v>
      </c>
      <c r="F291" s="6">
        <v>1499.98</v>
      </c>
      <c r="G291" s="13">
        <v>45386</v>
      </c>
      <c r="H291" s="6" t="s">
        <v>416</v>
      </c>
      <c r="I291" s="6" t="s">
        <v>452</v>
      </c>
      <c r="K291" s="6" t="str">
        <f t="shared" si="9"/>
        <v>insert into Payment values(35,1035,'Credit Card',1499.98,to_date('04/04/2024','mm/dd/yyyy'),'Completed','TXN-1035');</v>
      </c>
    </row>
    <row r="292" spans="2:11" ht="15.75" customHeight="1" x14ac:dyDescent="0.3">
      <c r="B292" s="6" t="s">
        <v>414</v>
      </c>
      <c r="C292" s="6">
        <v>36</v>
      </c>
      <c r="D292" s="6">
        <v>1036</v>
      </c>
      <c r="E292" s="6" t="s">
        <v>418</v>
      </c>
      <c r="F292" s="6">
        <v>1999</v>
      </c>
      <c r="G292" s="13">
        <v>45387</v>
      </c>
      <c r="H292" s="6" t="s">
        <v>416</v>
      </c>
      <c r="I292" s="6" t="s">
        <v>453</v>
      </c>
      <c r="K292" s="6" t="str">
        <f t="shared" si="9"/>
        <v>insert into Payment values(36,1036,'Credit Card',1999,to_date('04/05/2024','mm/dd/yyyy'),'Completed','TXN-1036');</v>
      </c>
    </row>
    <row r="293" spans="2:11" ht="15.75" customHeight="1" x14ac:dyDescent="0.3">
      <c r="B293" s="6" t="s">
        <v>414</v>
      </c>
      <c r="C293" s="6">
        <v>37</v>
      </c>
      <c r="D293" s="6">
        <v>1037</v>
      </c>
      <c r="E293" s="6" t="s">
        <v>418</v>
      </c>
      <c r="F293" s="6">
        <v>2799.98</v>
      </c>
      <c r="G293" s="13">
        <v>45388</v>
      </c>
      <c r="H293" s="6" t="s">
        <v>416</v>
      </c>
      <c r="I293" s="6" t="s">
        <v>454</v>
      </c>
      <c r="K293" s="6" t="str">
        <f t="shared" si="9"/>
        <v>insert into Payment values(37,1037,'Credit Card',2799.98,to_date('04/06/2024','mm/dd/yyyy'),'Completed','TXN-1037');</v>
      </c>
    </row>
    <row r="294" spans="2:11" ht="15.75" customHeight="1" x14ac:dyDescent="0.3">
      <c r="B294" s="6" t="s">
        <v>414</v>
      </c>
      <c r="C294" s="6">
        <v>38</v>
      </c>
      <c r="D294" s="6">
        <v>1038</v>
      </c>
      <c r="E294" s="6" t="s">
        <v>418</v>
      </c>
      <c r="F294" s="6">
        <v>999.99</v>
      </c>
      <c r="G294" s="13">
        <v>45389</v>
      </c>
      <c r="H294" s="6" t="s">
        <v>416</v>
      </c>
      <c r="I294" s="6" t="s">
        <v>455</v>
      </c>
      <c r="K294" s="6" t="str">
        <f t="shared" si="9"/>
        <v>insert into Payment values(38,1038,'Credit Card',999.99,to_date('04/07/2024','mm/dd/yyyy'),'Completed','TXN-1038');</v>
      </c>
    </row>
    <row r="295" spans="2:11" ht="15.75" customHeight="1" x14ac:dyDescent="0.3">
      <c r="B295" s="6" t="s">
        <v>414</v>
      </c>
      <c r="C295" s="6">
        <v>39</v>
      </c>
      <c r="D295" s="6">
        <v>1039</v>
      </c>
      <c r="E295" s="6" t="s">
        <v>418</v>
      </c>
      <c r="F295" s="6">
        <v>1199.97</v>
      </c>
      <c r="G295" s="13">
        <v>45390</v>
      </c>
      <c r="H295" s="6" t="s">
        <v>416</v>
      </c>
      <c r="I295" s="6" t="s">
        <v>456</v>
      </c>
      <c r="K295" s="6" t="str">
        <f t="shared" si="9"/>
        <v>insert into Payment values(39,1039,'Credit Card',1199.97,to_date('04/08/2024','mm/dd/yyyy'),'Completed','TXN-1039');</v>
      </c>
    </row>
    <row r="296" spans="2:11" ht="15.75" customHeight="1" x14ac:dyDescent="0.3">
      <c r="B296" s="6" t="s">
        <v>414</v>
      </c>
      <c r="C296" s="6">
        <v>40</v>
      </c>
      <c r="D296" s="6">
        <v>1040</v>
      </c>
      <c r="E296" s="6" t="s">
        <v>418</v>
      </c>
      <c r="F296" s="6">
        <v>2999.98</v>
      </c>
      <c r="G296" s="13">
        <v>45391</v>
      </c>
      <c r="H296" s="6" t="s">
        <v>416</v>
      </c>
      <c r="I296" s="6" t="s">
        <v>457</v>
      </c>
      <c r="K296" s="6" t="str">
        <f t="shared" si="9"/>
        <v>insert into Payment values(40,1040,'Credit Card',2999.98,to_date('04/09/2024','mm/dd/yyyy'),'Completed','TXN-1040');</v>
      </c>
    </row>
    <row r="297" spans="2:11" ht="15.75" customHeight="1" x14ac:dyDescent="0.3">
      <c r="B297" s="6" t="s">
        <v>414</v>
      </c>
      <c r="C297" s="6">
        <v>41</v>
      </c>
      <c r="D297" s="6">
        <v>1041</v>
      </c>
      <c r="E297" s="6" t="s">
        <v>418</v>
      </c>
      <c r="F297" s="6">
        <v>259.98</v>
      </c>
      <c r="G297" s="13">
        <v>45392</v>
      </c>
      <c r="H297" s="6" t="s">
        <v>416</v>
      </c>
      <c r="I297" s="6" t="s">
        <v>458</v>
      </c>
      <c r="K297" s="6" t="str">
        <f t="shared" si="9"/>
        <v>insert into Payment values(41,1041,'Credit Card',259.98,to_date('04/10/2024','mm/dd/yyyy'),'Completed','TXN-1041');</v>
      </c>
    </row>
    <row r="298" spans="2:11" ht="15.75" customHeight="1" x14ac:dyDescent="0.3">
      <c r="B298" s="6" t="s">
        <v>414</v>
      </c>
      <c r="C298" s="6">
        <v>42</v>
      </c>
      <c r="D298" s="6">
        <v>1042</v>
      </c>
      <c r="E298" s="6" t="s">
        <v>418</v>
      </c>
      <c r="F298" s="6">
        <v>749.97</v>
      </c>
      <c r="G298" s="13">
        <v>45393</v>
      </c>
      <c r="H298" s="6" t="s">
        <v>416</v>
      </c>
      <c r="I298" s="6" t="s">
        <v>459</v>
      </c>
      <c r="K298" s="6" t="str">
        <f t="shared" si="9"/>
        <v>insert into Payment values(42,1042,'Credit Card',749.97,to_date('04/11/2024','mm/dd/yyyy'),'Completed','TXN-1042');</v>
      </c>
    </row>
    <row r="301" spans="2:11" ht="15.75" customHeight="1" x14ac:dyDescent="0.3">
      <c r="B301" s="1" t="s">
        <v>460</v>
      </c>
      <c r="C301" s="2" t="s">
        <v>461</v>
      </c>
      <c r="D301" s="4" t="s">
        <v>395</v>
      </c>
      <c r="E301" s="4" t="s">
        <v>462</v>
      </c>
      <c r="F301" s="3" t="s">
        <v>463</v>
      </c>
      <c r="G301" s="3" t="s">
        <v>464</v>
      </c>
      <c r="H301" s="3" t="s">
        <v>465</v>
      </c>
      <c r="I301" s="3" t="s">
        <v>466</v>
      </c>
      <c r="J301" s="3" t="s">
        <v>398</v>
      </c>
    </row>
    <row r="302" spans="2:11" ht="15.75" customHeight="1" x14ac:dyDescent="0.3">
      <c r="B302" s="6" t="s">
        <v>467</v>
      </c>
      <c r="C302" s="6">
        <v>1</v>
      </c>
      <c r="D302" s="6">
        <v>1000</v>
      </c>
      <c r="E302" s="6">
        <v>1</v>
      </c>
      <c r="F302" s="6" t="s">
        <v>468</v>
      </c>
      <c r="G302" s="6" t="s">
        <v>469</v>
      </c>
      <c r="H302" s="13">
        <v>45352</v>
      </c>
      <c r="I302" s="13">
        <v>45354</v>
      </c>
      <c r="J302" s="6" t="s">
        <v>401</v>
      </c>
      <c r="K302" s="6" t="str">
        <f t="shared" ref="K302:K343" si="10">B302&amp;C302&amp;","&amp;D302&amp;","&amp;E302&amp;",'"&amp;F302&amp;"','"&amp;G302&amp;"',to_date('"&amp;TEXT(H302,"mm/dd/yyyy")&amp;"','mm/dd/yyyy'),to_date('"&amp;TEXT(I302,"mm/dd/yyyy")&amp;"','mm/dd/yyyy'),'"&amp;J302&amp;"');"</f>
        <v>insert into Shipment values(1,1000,1,'FedEx','TRK00001',to_date('03/01/2024','mm/dd/yyyy'),to_date('03/03/2024','mm/dd/yyyy'),'Delivered');</v>
      </c>
    </row>
    <row r="303" spans="2:11" ht="15.75" customHeight="1" x14ac:dyDescent="0.3">
      <c r="B303" s="6" t="s">
        <v>467</v>
      </c>
      <c r="C303" s="6">
        <v>2</v>
      </c>
      <c r="D303" s="6">
        <v>1002</v>
      </c>
      <c r="E303" s="6">
        <v>2</v>
      </c>
      <c r="F303" s="6" t="s">
        <v>470</v>
      </c>
      <c r="G303" s="6" t="s">
        <v>471</v>
      </c>
      <c r="H303" s="13">
        <v>45353</v>
      </c>
      <c r="I303" s="13">
        <v>45355</v>
      </c>
      <c r="J303" s="6" t="s">
        <v>401</v>
      </c>
      <c r="K303" s="6" t="str">
        <f t="shared" si="10"/>
        <v>insert into Shipment values(2,1002,2,'UPS','TRK00002',to_date('03/02/2024','mm/dd/yyyy'),to_date('03/04/2024','mm/dd/yyyy'),'Delivered');</v>
      </c>
    </row>
    <row r="304" spans="2:11" ht="15.75" customHeight="1" x14ac:dyDescent="0.3">
      <c r="B304" s="6" t="s">
        <v>467</v>
      </c>
      <c r="C304" s="6">
        <v>3</v>
      </c>
      <c r="D304" s="6">
        <v>1003</v>
      </c>
      <c r="E304" s="6">
        <v>3</v>
      </c>
      <c r="F304" s="6" t="s">
        <v>468</v>
      </c>
      <c r="G304" s="6" t="s">
        <v>472</v>
      </c>
      <c r="H304" s="13">
        <v>45354</v>
      </c>
      <c r="I304" s="13">
        <v>45356</v>
      </c>
      <c r="J304" s="6" t="s">
        <v>401</v>
      </c>
      <c r="K304" s="6" t="str">
        <f t="shared" si="10"/>
        <v>insert into Shipment values(3,1003,3,'FedEx','TRK00003',to_date('03/03/2024','mm/dd/yyyy'),to_date('03/05/2024','mm/dd/yyyy'),'Delivered');</v>
      </c>
    </row>
    <row r="305" spans="2:11" ht="15.75" customHeight="1" x14ac:dyDescent="0.3">
      <c r="B305" s="6" t="s">
        <v>467</v>
      </c>
      <c r="C305" s="6">
        <v>4</v>
      </c>
      <c r="D305" s="6">
        <v>1004</v>
      </c>
      <c r="E305" s="6">
        <v>4</v>
      </c>
      <c r="F305" s="6" t="s">
        <v>470</v>
      </c>
      <c r="G305" s="6" t="s">
        <v>473</v>
      </c>
      <c r="H305" s="13">
        <v>45355</v>
      </c>
      <c r="I305" s="13">
        <v>45357</v>
      </c>
      <c r="J305" s="6" t="s">
        <v>401</v>
      </c>
      <c r="K305" s="6" t="str">
        <f t="shared" si="10"/>
        <v>insert into Shipment values(4,1004,4,'UPS','TRK00004',to_date('03/04/2024','mm/dd/yyyy'),to_date('03/06/2024','mm/dd/yyyy'),'Delivered');</v>
      </c>
    </row>
    <row r="306" spans="2:11" ht="15.75" customHeight="1" x14ac:dyDescent="0.3">
      <c r="B306" s="6" t="s">
        <v>467</v>
      </c>
      <c r="C306" s="6">
        <v>5</v>
      </c>
      <c r="D306" s="6">
        <v>1005</v>
      </c>
      <c r="E306" s="6">
        <v>5</v>
      </c>
      <c r="F306" s="6" t="s">
        <v>468</v>
      </c>
      <c r="G306" s="6" t="s">
        <v>474</v>
      </c>
      <c r="H306" s="13">
        <v>45356</v>
      </c>
      <c r="I306" s="13">
        <v>45358</v>
      </c>
      <c r="J306" s="6" t="s">
        <v>401</v>
      </c>
      <c r="K306" s="6" t="str">
        <f t="shared" si="10"/>
        <v>insert into Shipment values(5,1005,5,'FedEx','TRK00005',to_date('03/05/2024','mm/dd/yyyy'),to_date('03/07/2024','mm/dd/yyyy'),'Delivered');</v>
      </c>
    </row>
    <row r="307" spans="2:11" ht="15.75" customHeight="1" x14ac:dyDescent="0.3">
      <c r="B307" s="6" t="s">
        <v>467</v>
      </c>
      <c r="C307" s="6">
        <v>6</v>
      </c>
      <c r="D307" s="6">
        <v>1006</v>
      </c>
      <c r="E307" s="6">
        <v>6</v>
      </c>
      <c r="F307" s="6" t="s">
        <v>470</v>
      </c>
      <c r="G307" s="6" t="s">
        <v>475</v>
      </c>
      <c r="H307" s="13">
        <v>45357</v>
      </c>
      <c r="I307" s="13">
        <v>45359</v>
      </c>
      <c r="J307" s="6" t="s">
        <v>401</v>
      </c>
      <c r="K307" s="6" t="str">
        <f t="shared" si="10"/>
        <v>insert into Shipment values(6,1006,6,'UPS','TRK00006',to_date('03/06/2024','mm/dd/yyyy'),to_date('03/08/2024','mm/dd/yyyy'),'Delivered');</v>
      </c>
    </row>
    <row r="308" spans="2:11" ht="15.75" customHeight="1" x14ac:dyDescent="0.3">
      <c r="B308" s="6" t="s">
        <v>467</v>
      </c>
      <c r="C308" s="6">
        <v>7</v>
      </c>
      <c r="D308" s="6">
        <v>1007</v>
      </c>
      <c r="E308" s="6">
        <v>7</v>
      </c>
      <c r="F308" s="6" t="s">
        <v>468</v>
      </c>
      <c r="G308" s="6" t="s">
        <v>476</v>
      </c>
      <c r="H308" s="13">
        <v>45358</v>
      </c>
      <c r="I308" s="13">
        <v>45360</v>
      </c>
      <c r="J308" s="6" t="s">
        <v>401</v>
      </c>
      <c r="K308" s="6" t="str">
        <f t="shared" si="10"/>
        <v>insert into Shipment values(7,1007,7,'FedEx','TRK00007',to_date('03/07/2024','mm/dd/yyyy'),to_date('03/09/2024','mm/dd/yyyy'),'Delivered');</v>
      </c>
    </row>
    <row r="309" spans="2:11" ht="15.75" customHeight="1" x14ac:dyDescent="0.3">
      <c r="B309" s="6" t="s">
        <v>467</v>
      </c>
      <c r="C309" s="6">
        <v>8</v>
      </c>
      <c r="D309" s="6">
        <v>1008</v>
      </c>
      <c r="E309" s="6">
        <v>8</v>
      </c>
      <c r="F309" s="6" t="s">
        <v>470</v>
      </c>
      <c r="G309" s="6" t="s">
        <v>477</v>
      </c>
      <c r="H309" s="13">
        <v>45359</v>
      </c>
      <c r="I309" s="13">
        <v>45361</v>
      </c>
      <c r="J309" s="6" t="s">
        <v>401</v>
      </c>
      <c r="K309" s="6" t="str">
        <f t="shared" si="10"/>
        <v>insert into Shipment values(8,1008,8,'UPS','TRK00008',to_date('03/08/2024','mm/dd/yyyy'),to_date('03/10/2024','mm/dd/yyyy'),'Delivered');</v>
      </c>
    </row>
    <row r="310" spans="2:11" ht="15.75" customHeight="1" x14ac:dyDescent="0.3">
      <c r="B310" s="6" t="s">
        <v>467</v>
      </c>
      <c r="C310" s="6">
        <v>9</v>
      </c>
      <c r="D310" s="6">
        <v>1009</v>
      </c>
      <c r="E310" s="6">
        <v>9</v>
      </c>
      <c r="F310" s="6" t="s">
        <v>468</v>
      </c>
      <c r="G310" s="6" t="s">
        <v>478</v>
      </c>
      <c r="H310" s="13">
        <v>45360</v>
      </c>
      <c r="I310" s="13">
        <v>45362</v>
      </c>
      <c r="J310" s="6" t="s">
        <v>401</v>
      </c>
      <c r="K310" s="6" t="str">
        <f t="shared" si="10"/>
        <v>insert into Shipment values(9,1009,9,'FedEx','TRK00009',to_date('03/09/2024','mm/dd/yyyy'),to_date('03/11/2024','mm/dd/yyyy'),'Delivered');</v>
      </c>
    </row>
    <row r="311" spans="2:11" ht="15.75" customHeight="1" x14ac:dyDescent="0.3">
      <c r="B311" s="6" t="s">
        <v>467</v>
      </c>
      <c r="C311" s="6">
        <v>10</v>
      </c>
      <c r="D311" s="6">
        <v>1010</v>
      </c>
      <c r="E311" s="6">
        <v>10</v>
      </c>
      <c r="F311" s="6" t="s">
        <v>470</v>
      </c>
      <c r="G311" s="6" t="s">
        <v>479</v>
      </c>
      <c r="H311" s="13">
        <v>45361</v>
      </c>
      <c r="I311" s="13">
        <v>45363</v>
      </c>
      <c r="J311" s="6" t="s">
        <v>401</v>
      </c>
      <c r="K311" s="6" t="str">
        <f t="shared" si="10"/>
        <v>insert into Shipment values(10,1010,10,'UPS','TRK00010',to_date('03/10/2024','mm/dd/yyyy'),to_date('03/12/2024','mm/dd/yyyy'),'Delivered');</v>
      </c>
    </row>
    <row r="312" spans="2:11" ht="15.75" customHeight="1" x14ac:dyDescent="0.3">
      <c r="B312" s="6" t="s">
        <v>467</v>
      </c>
      <c r="C312" s="6">
        <v>11</v>
      </c>
      <c r="D312" s="6">
        <v>1011</v>
      </c>
      <c r="E312" s="6">
        <v>1</v>
      </c>
      <c r="F312" s="6" t="s">
        <v>468</v>
      </c>
      <c r="G312" s="6" t="s">
        <v>480</v>
      </c>
      <c r="H312" s="13">
        <v>45362</v>
      </c>
      <c r="I312" s="13">
        <v>45364</v>
      </c>
      <c r="J312" s="6" t="s">
        <v>401</v>
      </c>
      <c r="K312" s="6" t="str">
        <f t="shared" si="10"/>
        <v>insert into Shipment values(11,1011,1,'FedEx','TRK00011',to_date('03/11/2024','mm/dd/yyyy'),to_date('03/13/2024','mm/dd/yyyy'),'Delivered');</v>
      </c>
    </row>
    <row r="313" spans="2:11" ht="15.75" customHeight="1" x14ac:dyDescent="0.3">
      <c r="B313" s="6" t="s">
        <v>467</v>
      </c>
      <c r="C313" s="6">
        <v>12</v>
      </c>
      <c r="D313" s="6">
        <v>1012</v>
      </c>
      <c r="E313" s="6">
        <v>2</v>
      </c>
      <c r="F313" s="6" t="s">
        <v>470</v>
      </c>
      <c r="G313" s="6" t="s">
        <v>481</v>
      </c>
      <c r="H313" s="13">
        <v>45363</v>
      </c>
      <c r="I313" s="13">
        <v>45365</v>
      </c>
      <c r="J313" s="6" t="s">
        <v>401</v>
      </c>
      <c r="K313" s="6" t="str">
        <f t="shared" si="10"/>
        <v>insert into Shipment values(12,1012,2,'UPS','TRK00012',to_date('03/12/2024','mm/dd/yyyy'),to_date('03/14/2024','mm/dd/yyyy'),'Delivered');</v>
      </c>
    </row>
    <row r="314" spans="2:11" ht="15.75" customHeight="1" x14ac:dyDescent="0.3">
      <c r="B314" s="6" t="s">
        <v>467</v>
      </c>
      <c r="C314" s="6">
        <v>13</v>
      </c>
      <c r="D314" s="6">
        <v>1013</v>
      </c>
      <c r="E314" s="6">
        <v>4</v>
      </c>
      <c r="F314" s="6" t="s">
        <v>468</v>
      </c>
      <c r="G314" s="6" t="s">
        <v>482</v>
      </c>
      <c r="H314" s="13">
        <v>45364</v>
      </c>
      <c r="I314" s="13">
        <v>45366</v>
      </c>
      <c r="J314" s="6" t="s">
        <v>401</v>
      </c>
      <c r="K314" s="6" t="str">
        <f t="shared" si="10"/>
        <v>insert into Shipment values(13,1013,4,'FedEx','TRK00013',to_date('03/13/2024','mm/dd/yyyy'),to_date('03/15/2024','mm/dd/yyyy'),'Delivered');</v>
      </c>
    </row>
    <row r="315" spans="2:11" ht="15.75" customHeight="1" x14ac:dyDescent="0.3">
      <c r="B315" s="6" t="s">
        <v>467</v>
      </c>
      <c r="C315" s="6">
        <v>14</v>
      </c>
      <c r="D315" s="6">
        <v>1014</v>
      </c>
      <c r="E315" s="6">
        <v>5</v>
      </c>
      <c r="F315" s="6" t="s">
        <v>470</v>
      </c>
      <c r="G315" s="6" t="s">
        <v>483</v>
      </c>
      <c r="H315" s="13">
        <v>45365</v>
      </c>
      <c r="I315" s="13">
        <v>45367</v>
      </c>
      <c r="J315" s="6" t="s">
        <v>401</v>
      </c>
      <c r="K315" s="6" t="str">
        <f t="shared" si="10"/>
        <v>insert into Shipment values(14,1014,5,'UPS','TRK00014',to_date('03/14/2024','mm/dd/yyyy'),to_date('03/16/2024','mm/dd/yyyy'),'Delivered');</v>
      </c>
    </row>
    <row r="316" spans="2:11" ht="15.75" customHeight="1" x14ac:dyDescent="0.3">
      <c r="B316" s="6" t="s">
        <v>467</v>
      </c>
      <c r="C316" s="6">
        <v>15</v>
      </c>
      <c r="D316" s="6">
        <v>1015</v>
      </c>
      <c r="E316" s="6">
        <v>6</v>
      </c>
      <c r="F316" s="6" t="s">
        <v>468</v>
      </c>
      <c r="G316" s="6" t="s">
        <v>484</v>
      </c>
      <c r="H316" s="13">
        <v>45366</v>
      </c>
      <c r="I316" s="13">
        <v>45368</v>
      </c>
      <c r="J316" s="6" t="s">
        <v>401</v>
      </c>
      <c r="K316" s="6" t="str">
        <f t="shared" si="10"/>
        <v>insert into Shipment values(15,1015,6,'FedEx','TRK00015',to_date('03/15/2024','mm/dd/yyyy'),to_date('03/17/2024','mm/dd/yyyy'),'Delivered');</v>
      </c>
    </row>
    <row r="317" spans="2:11" ht="15.75" customHeight="1" x14ac:dyDescent="0.3">
      <c r="B317" s="6" t="s">
        <v>467</v>
      </c>
      <c r="C317" s="6">
        <v>16</v>
      </c>
      <c r="D317" s="6">
        <v>1016</v>
      </c>
      <c r="E317" s="6">
        <v>7</v>
      </c>
      <c r="F317" s="6" t="s">
        <v>470</v>
      </c>
      <c r="G317" s="6" t="s">
        <v>485</v>
      </c>
      <c r="H317" s="13">
        <v>45367</v>
      </c>
      <c r="I317" s="13">
        <v>45369</v>
      </c>
      <c r="J317" s="6" t="s">
        <v>401</v>
      </c>
      <c r="K317" s="6" t="str">
        <f t="shared" si="10"/>
        <v>insert into Shipment values(16,1016,7,'UPS','TRK00016',to_date('03/16/2024','mm/dd/yyyy'),to_date('03/18/2024','mm/dd/yyyy'),'Delivered');</v>
      </c>
    </row>
    <row r="318" spans="2:11" ht="15.75" customHeight="1" x14ac:dyDescent="0.3">
      <c r="B318" s="6" t="s">
        <v>467</v>
      </c>
      <c r="C318" s="6">
        <v>17</v>
      </c>
      <c r="D318" s="6">
        <v>1017</v>
      </c>
      <c r="E318" s="6">
        <v>8</v>
      </c>
      <c r="F318" s="6" t="s">
        <v>468</v>
      </c>
      <c r="G318" s="6" t="s">
        <v>486</v>
      </c>
      <c r="H318" s="13">
        <v>45368</v>
      </c>
      <c r="I318" s="13">
        <v>45370</v>
      </c>
      <c r="J318" s="6" t="s">
        <v>401</v>
      </c>
      <c r="K318" s="6" t="str">
        <f t="shared" si="10"/>
        <v>insert into Shipment values(17,1017,8,'FedEx','TRK00017',to_date('03/17/2024','mm/dd/yyyy'),to_date('03/19/2024','mm/dd/yyyy'),'Delivered');</v>
      </c>
    </row>
    <row r="319" spans="2:11" ht="15.75" customHeight="1" x14ac:dyDescent="0.3">
      <c r="B319" s="6" t="s">
        <v>467</v>
      </c>
      <c r="C319" s="6">
        <v>18</v>
      </c>
      <c r="D319" s="6">
        <v>1018</v>
      </c>
      <c r="E319" s="6">
        <v>9</v>
      </c>
      <c r="F319" s="6" t="s">
        <v>470</v>
      </c>
      <c r="G319" s="6" t="s">
        <v>487</v>
      </c>
      <c r="H319" s="13">
        <v>45369</v>
      </c>
      <c r="I319" s="13">
        <v>45371</v>
      </c>
      <c r="J319" s="6" t="s">
        <v>401</v>
      </c>
      <c r="K319" s="6" t="str">
        <f t="shared" si="10"/>
        <v>insert into Shipment values(18,1018,9,'UPS','TRK00018',to_date('03/18/2024','mm/dd/yyyy'),to_date('03/20/2024','mm/dd/yyyy'),'Delivered');</v>
      </c>
    </row>
    <row r="320" spans="2:11" ht="15.75" customHeight="1" x14ac:dyDescent="0.3">
      <c r="B320" s="6" t="s">
        <v>467</v>
      </c>
      <c r="C320" s="6">
        <v>19</v>
      </c>
      <c r="D320" s="6">
        <v>1019</v>
      </c>
      <c r="E320" s="6">
        <v>10</v>
      </c>
      <c r="F320" s="6" t="s">
        <v>468</v>
      </c>
      <c r="G320" s="6" t="s">
        <v>488</v>
      </c>
      <c r="H320" s="13">
        <v>45370</v>
      </c>
      <c r="I320" s="13">
        <v>45372</v>
      </c>
      <c r="J320" s="6" t="s">
        <v>401</v>
      </c>
      <c r="K320" s="6" t="str">
        <f t="shared" si="10"/>
        <v>insert into Shipment values(19,1019,10,'FedEx','TRK00019',to_date('03/19/2024','mm/dd/yyyy'),to_date('03/21/2024','mm/dd/yyyy'),'Delivered');</v>
      </c>
    </row>
    <row r="321" spans="2:11" ht="15.75" customHeight="1" x14ac:dyDescent="0.3">
      <c r="B321" s="6" t="s">
        <v>467</v>
      </c>
      <c r="C321" s="6">
        <v>20</v>
      </c>
      <c r="D321" s="6">
        <v>1020</v>
      </c>
      <c r="E321" s="6">
        <v>1</v>
      </c>
      <c r="F321" s="6" t="s">
        <v>470</v>
      </c>
      <c r="G321" s="6" t="s">
        <v>489</v>
      </c>
      <c r="H321" s="13">
        <v>45371</v>
      </c>
      <c r="I321" s="13">
        <v>45373</v>
      </c>
      <c r="J321" s="6" t="s">
        <v>401</v>
      </c>
      <c r="K321" s="6" t="str">
        <f t="shared" si="10"/>
        <v>insert into Shipment values(20,1020,1,'UPS','TRK00020',to_date('03/20/2024','mm/dd/yyyy'),to_date('03/22/2024','mm/dd/yyyy'),'Delivered');</v>
      </c>
    </row>
    <row r="322" spans="2:11" ht="15.75" customHeight="1" x14ac:dyDescent="0.3">
      <c r="B322" s="6" t="s">
        <v>467</v>
      </c>
      <c r="C322" s="6">
        <v>21</v>
      </c>
      <c r="D322" s="6">
        <v>1021</v>
      </c>
      <c r="E322" s="6">
        <v>2</v>
      </c>
      <c r="F322" s="6" t="s">
        <v>468</v>
      </c>
      <c r="G322" s="6" t="s">
        <v>490</v>
      </c>
      <c r="H322" s="13">
        <v>45372</v>
      </c>
      <c r="I322" s="13">
        <v>45374</v>
      </c>
      <c r="J322" s="6" t="s">
        <v>401</v>
      </c>
      <c r="K322" s="6" t="str">
        <f t="shared" si="10"/>
        <v>insert into Shipment values(21,1021,2,'FedEx','TRK00021',to_date('03/21/2024','mm/dd/yyyy'),to_date('03/23/2024','mm/dd/yyyy'),'Delivered');</v>
      </c>
    </row>
    <row r="323" spans="2:11" ht="15.75" customHeight="1" x14ac:dyDescent="0.3">
      <c r="B323" s="6" t="s">
        <v>467</v>
      </c>
      <c r="C323" s="6">
        <v>22</v>
      </c>
      <c r="D323" s="6">
        <v>1022</v>
      </c>
      <c r="E323" s="6">
        <v>3</v>
      </c>
      <c r="F323" s="6" t="s">
        <v>470</v>
      </c>
      <c r="G323" s="6" t="s">
        <v>491</v>
      </c>
      <c r="H323" s="13">
        <v>45373</v>
      </c>
      <c r="I323" s="13">
        <v>45375</v>
      </c>
      <c r="J323" s="6" t="s">
        <v>401</v>
      </c>
      <c r="K323" s="6" t="str">
        <f t="shared" si="10"/>
        <v>insert into Shipment values(22,1022,3,'UPS','TRK00022',to_date('03/22/2024','mm/dd/yyyy'),to_date('03/24/2024','mm/dd/yyyy'),'Delivered');</v>
      </c>
    </row>
    <row r="324" spans="2:11" ht="15.75" customHeight="1" x14ac:dyDescent="0.3">
      <c r="B324" s="6" t="s">
        <v>467</v>
      </c>
      <c r="C324" s="6">
        <v>23</v>
      </c>
      <c r="D324" s="6">
        <v>1023</v>
      </c>
      <c r="E324" s="6">
        <v>4</v>
      </c>
      <c r="F324" s="6" t="s">
        <v>468</v>
      </c>
      <c r="G324" s="6" t="s">
        <v>492</v>
      </c>
      <c r="H324" s="13">
        <v>45374</v>
      </c>
      <c r="I324" s="13">
        <v>45376</v>
      </c>
      <c r="J324" s="6" t="s">
        <v>401</v>
      </c>
      <c r="K324" s="6" t="str">
        <f t="shared" si="10"/>
        <v>insert into Shipment values(23,1023,4,'FedEx','TRK00023',to_date('03/23/2024','mm/dd/yyyy'),to_date('03/25/2024','mm/dd/yyyy'),'Delivered');</v>
      </c>
    </row>
    <row r="325" spans="2:11" ht="15.75" customHeight="1" x14ac:dyDescent="0.3">
      <c r="B325" s="6" t="s">
        <v>467</v>
      </c>
      <c r="C325" s="6">
        <v>24</v>
      </c>
      <c r="D325" s="6">
        <v>1024</v>
      </c>
      <c r="E325" s="6">
        <v>5</v>
      </c>
      <c r="F325" s="6" t="s">
        <v>470</v>
      </c>
      <c r="G325" s="6" t="s">
        <v>493</v>
      </c>
      <c r="H325" s="13">
        <v>45375</v>
      </c>
      <c r="I325" s="13">
        <v>45377</v>
      </c>
      <c r="J325" s="6" t="s">
        <v>401</v>
      </c>
      <c r="K325" s="6" t="str">
        <f t="shared" si="10"/>
        <v>insert into Shipment values(24,1024,5,'UPS','TRK00024',to_date('03/24/2024','mm/dd/yyyy'),to_date('03/26/2024','mm/dd/yyyy'),'Delivered');</v>
      </c>
    </row>
    <row r="326" spans="2:11" ht="15.75" customHeight="1" x14ac:dyDescent="0.3">
      <c r="B326" s="6" t="s">
        <v>467</v>
      </c>
      <c r="C326" s="6">
        <v>25</v>
      </c>
      <c r="D326" s="6">
        <v>1025</v>
      </c>
      <c r="E326" s="6">
        <v>6</v>
      </c>
      <c r="F326" s="6" t="s">
        <v>468</v>
      </c>
      <c r="G326" s="6" t="s">
        <v>494</v>
      </c>
      <c r="H326" s="13">
        <v>45376</v>
      </c>
      <c r="I326" s="13">
        <v>45378</v>
      </c>
      <c r="J326" s="6" t="s">
        <v>401</v>
      </c>
      <c r="K326" s="6" t="str">
        <f t="shared" si="10"/>
        <v>insert into Shipment values(25,1025,6,'FedEx','TRK00025',to_date('03/25/2024','mm/dd/yyyy'),to_date('03/27/2024','mm/dd/yyyy'),'Delivered');</v>
      </c>
    </row>
    <row r="327" spans="2:11" ht="15.75" customHeight="1" x14ac:dyDescent="0.3">
      <c r="B327" s="6" t="s">
        <v>467</v>
      </c>
      <c r="C327" s="6">
        <v>26</v>
      </c>
      <c r="D327" s="6">
        <v>1026</v>
      </c>
      <c r="E327" s="6">
        <v>7</v>
      </c>
      <c r="F327" s="6" t="s">
        <v>470</v>
      </c>
      <c r="G327" s="6" t="s">
        <v>495</v>
      </c>
      <c r="H327" s="13">
        <v>45377</v>
      </c>
      <c r="I327" s="13">
        <v>45379</v>
      </c>
      <c r="J327" s="6" t="s">
        <v>401</v>
      </c>
      <c r="K327" s="6" t="str">
        <f t="shared" si="10"/>
        <v>insert into Shipment values(26,1026,7,'UPS','TRK00026',to_date('03/26/2024','mm/dd/yyyy'),to_date('03/28/2024','mm/dd/yyyy'),'Delivered');</v>
      </c>
    </row>
    <row r="328" spans="2:11" ht="15.75" customHeight="1" x14ac:dyDescent="0.3">
      <c r="B328" s="6" t="s">
        <v>467</v>
      </c>
      <c r="C328" s="6">
        <v>27</v>
      </c>
      <c r="D328" s="6">
        <v>1027</v>
      </c>
      <c r="E328" s="6">
        <v>8</v>
      </c>
      <c r="F328" s="6" t="s">
        <v>468</v>
      </c>
      <c r="G328" s="6" t="s">
        <v>496</v>
      </c>
      <c r="H328" s="13">
        <v>45378</v>
      </c>
      <c r="I328" s="13">
        <v>45380</v>
      </c>
      <c r="J328" s="6" t="s">
        <v>401</v>
      </c>
      <c r="K328" s="6" t="str">
        <f t="shared" si="10"/>
        <v>insert into Shipment values(27,1027,8,'FedEx','TRK00027',to_date('03/27/2024','mm/dd/yyyy'),to_date('03/29/2024','mm/dd/yyyy'),'Delivered');</v>
      </c>
    </row>
    <row r="329" spans="2:11" ht="15.75" customHeight="1" x14ac:dyDescent="0.3">
      <c r="B329" s="6" t="s">
        <v>467</v>
      </c>
      <c r="C329" s="6">
        <v>28</v>
      </c>
      <c r="D329" s="6">
        <v>1028</v>
      </c>
      <c r="E329" s="6">
        <v>9</v>
      </c>
      <c r="F329" s="6" t="s">
        <v>470</v>
      </c>
      <c r="G329" s="6" t="s">
        <v>497</v>
      </c>
      <c r="H329" s="13">
        <v>45379</v>
      </c>
      <c r="I329" s="13">
        <v>45381</v>
      </c>
      <c r="J329" s="6" t="s">
        <v>401</v>
      </c>
      <c r="K329" s="6" t="str">
        <f t="shared" si="10"/>
        <v>insert into Shipment values(28,1028,9,'UPS','TRK00028',to_date('03/28/2024','mm/dd/yyyy'),to_date('03/30/2024','mm/dd/yyyy'),'Delivered');</v>
      </c>
    </row>
    <row r="330" spans="2:11" ht="15.75" customHeight="1" x14ac:dyDescent="0.3">
      <c r="B330" s="6" t="s">
        <v>467</v>
      </c>
      <c r="C330" s="6">
        <v>29</v>
      </c>
      <c r="D330" s="6">
        <v>1029</v>
      </c>
      <c r="E330" s="6">
        <v>10</v>
      </c>
      <c r="F330" s="6" t="s">
        <v>468</v>
      </c>
      <c r="G330" s="6" t="s">
        <v>498</v>
      </c>
      <c r="H330" s="13">
        <v>45380</v>
      </c>
      <c r="I330" s="13">
        <v>45382</v>
      </c>
      <c r="J330" s="6" t="s">
        <v>401</v>
      </c>
      <c r="K330" s="6" t="str">
        <f t="shared" si="10"/>
        <v>insert into Shipment values(29,1029,10,'FedEx','TRK00029',to_date('03/29/2024','mm/dd/yyyy'),to_date('03/31/2024','mm/dd/yyyy'),'Delivered');</v>
      </c>
    </row>
    <row r="331" spans="2:11" ht="15.75" customHeight="1" x14ac:dyDescent="0.3">
      <c r="B331" s="6" t="s">
        <v>467</v>
      </c>
      <c r="C331" s="6">
        <v>30</v>
      </c>
      <c r="D331" s="6">
        <v>1030</v>
      </c>
      <c r="E331" s="6">
        <v>1</v>
      </c>
      <c r="F331" s="6" t="s">
        <v>470</v>
      </c>
      <c r="G331" s="6" t="s">
        <v>499</v>
      </c>
      <c r="H331" s="13">
        <v>45381</v>
      </c>
      <c r="I331" s="13">
        <v>45383</v>
      </c>
      <c r="J331" s="6" t="s">
        <v>401</v>
      </c>
      <c r="K331" s="6" t="str">
        <f t="shared" si="10"/>
        <v>insert into Shipment values(30,1030,1,'UPS','TRK00030',to_date('03/30/2024','mm/dd/yyyy'),to_date('04/01/2024','mm/dd/yyyy'),'Delivered');</v>
      </c>
    </row>
    <row r="332" spans="2:11" ht="15.75" customHeight="1" x14ac:dyDescent="0.3">
      <c r="B332" s="6" t="s">
        <v>467</v>
      </c>
      <c r="C332" s="6">
        <v>31</v>
      </c>
      <c r="D332" s="6">
        <v>1031</v>
      </c>
      <c r="E332" s="6">
        <v>2</v>
      </c>
      <c r="F332" s="6" t="s">
        <v>468</v>
      </c>
      <c r="G332" s="6" t="s">
        <v>500</v>
      </c>
      <c r="H332" s="13">
        <v>45382</v>
      </c>
      <c r="I332" s="13">
        <v>45384</v>
      </c>
      <c r="J332" s="6" t="s">
        <v>401</v>
      </c>
      <c r="K332" s="6" t="str">
        <f t="shared" si="10"/>
        <v>insert into Shipment values(31,1031,2,'FedEx','TRK00031',to_date('03/31/2024','mm/dd/yyyy'),to_date('04/02/2024','mm/dd/yyyy'),'Delivered');</v>
      </c>
    </row>
    <row r="333" spans="2:11" ht="15.75" customHeight="1" x14ac:dyDescent="0.3">
      <c r="B333" s="6" t="s">
        <v>467</v>
      </c>
      <c r="C333" s="6">
        <v>32</v>
      </c>
      <c r="D333" s="6">
        <v>1032</v>
      </c>
      <c r="E333" s="6">
        <v>3</v>
      </c>
      <c r="F333" s="6" t="s">
        <v>470</v>
      </c>
      <c r="G333" s="6" t="s">
        <v>501</v>
      </c>
      <c r="H333" s="13">
        <v>45383</v>
      </c>
      <c r="I333" s="13">
        <v>45385</v>
      </c>
      <c r="J333" s="6" t="s">
        <v>401</v>
      </c>
      <c r="K333" s="6" t="str">
        <f t="shared" si="10"/>
        <v>insert into Shipment values(32,1032,3,'UPS','TRK00032',to_date('04/01/2024','mm/dd/yyyy'),to_date('04/03/2024','mm/dd/yyyy'),'Delivered');</v>
      </c>
    </row>
    <row r="334" spans="2:11" ht="15.75" customHeight="1" x14ac:dyDescent="0.3">
      <c r="B334" s="6" t="s">
        <v>467</v>
      </c>
      <c r="C334" s="6">
        <v>33</v>
      </c>
      <c r="D334" s="6">
        <v>1033</v>
      </c>
      <c r="E334" s="6">
        <v>4</v>
      </c>
      <c r="F334" s="6" t="s">
        <v>468</v>
      </c>
      <c r="G334" s="6" t="s">
        <v>502</v>
      </c>
      <c r="H334" s="13">
        <v>45384</v>
      </c>
      <c r="I334" s="13">
        <v>45386</v>
      </c>
      <c r="J334" s="6" t="s">
        <v>401</v>
      </c>
      <c r="K334" s="6" t="str">
        <f t="shared" si="10"/>
        <v>insert into Shipment values(33,1033,4,'FedEx','TRK00033',to_date('04/02/2024','mm/dd/yyyy'),to_date('04/04/2024','mm/dd/yyyy'),'Delivered');</v>
      </c>
    </row>
    <row r="335" spans="2:11" ht="15.75" customHeight="1" x14ac:dyDescent="0.3">
      <c r="B335" s="6" t="s">
        <v>467</v>
      </c>
      <c r="C335" s="6">
        <v>34</v>
      </c>
      <c r="D335" s="6">
        <v>1034</v>
      </c>
      <c r="E335" s="6">
        <v>5</v>
      </c>
      <c r="F335" s="6" t="s">
        <v>470</v>
      </c>
      <c r="G335" s="6" t="s">
        <v>503</v>
      </c>
      <c r="H335" s="13">
        <v>45385</v>
      </c>
      <c r="I335" s="13">
        <v>45387</v>
      </c>
      <c r="J335" s="6" t="s">
        <v>401</v>
      </c>
      <c r="K335" s="6" t="str">
        <f t="shared" si="10"/>
        <v>insert into Shipment values(34,1034,5,'UPS','TRK00034',to_date('04/03/2024','mm/dd/yyyy'),to_date('04/05/2024','mm/dd/yyyy'),'Delivered');</v>
      </c>
    </row>
    <row r="336" spans="2:11" ht="15.75" customHeight="1" x14ac:dyDescent="0.3">
      <c r="B336" s="6" t="s">
        <v>467</v>
      </c>
      <c r="C336" s="6">
        <v>35</v>
      </c>
      <c r="D336" s="6">
        <v>1035</v>
      </c>
      <c r="E336" s="6">
        <v>6</v>
      </c>
      <c r="F336" s="6" t="s">
        <v>468</v>
      </c>
      <c r="G336" s="6" t="s">
        <v>504</v>
      </c>
      <c r="H336" s="13">
        <v>45386</v>
      </c>
      <c r="I336" s="13">
        <v>45388</v>
      </c>
      <c r="J336" s="6" t="s">
        <v>401</v>
      </c>
      <c r="K336" s="6" t="str">
        <f t="shared" si="10"/>
        <v>insert into Shipment values(35,1035,6,'FedEx','TRK00035',to_date('04/04/2024','mm/dd/yyyy'),to_date('04/06/2024','mm/dd/yyyy'),'Delivered');</v>
      </c>
    </row>
    <row r="337" spans="2:11" ht="15.75" customHeight="1" x14ac:dyDescent="0.3">
      <c r="B337" s="6" t="s">
        <v>467</v>
      </c>
      <c r="C337" s="6">
        <v>36</v>
      </c>
      <c r="D337" s="6">
        <v>1036</v>
      </c>
      <c r="E337" s="6">
        <v>7</v>
      </c>
      <c r="F337" s="6" t="s">
        <v>470</v>
      </c>
      <c r="G337" s="6" t="s">
        <v>505</v>
      </c>
      <c r="H337" s="13">
        <v>45387</v>
      </c>
      <c r="I337" s="13">
        <v>45389</v>
      </c>
      <c r="J337" s="6" t="s">
        <v>401</v>
      </c>
      <c r="K337" s="6" t="str">
        <f t="shared" si="10"/>
        <v>insert into Shipment values(36,1036,7,'UPS','TRK00036',to_date('04/05/2024','mm/dd/yyyy'),to_date('04/07/2024','mm/dd/yyyy'),'Delivered');</v>
      </c>
    </row>
    <row r="338" spans="2:11" ht="15.75" customHeight="1" x14ac:dyDescent="0.3">
      <c r="B338" s="6" t="s">
        <v>467</v>
      </c>
      <c r="C338" s="6">
        <v>37</v>
      </c>
      <c r="D338" s="6">
        <v>1037</v>
      </c>
      <c r="E338" s="6">
        <v>8</v>
      </c>
      <c r="F338" s="6" t="s">
        <v>468</v>
      </c>
      <c r="G338" s="6" t="s">
        <v>506</v>
      </c>
      <c r="H338" s="13">
        <v>45388</v>
      </c>
      <c r="I338" s="13">
        <v>45390</v>
      </c>
      <c r="J338" s="6" t="s">
        <v>401</v>
      </c>
      <c r="K338" s="6" t="str">
        <f t="shared" si="10"/>
        <v>insert into Shipment values(37,1037,8,'FedEx','TRK00037',to_date('04/06/2024','mm/dd/yyyy'),to_date('04/08/2024','mm/dd/yyyy'),'Delivered');</v>
      </c>
    </row>
    <row r="339" spans="2:11" ht="15.75" customHeight="1" x14ac:dyDescent="0.3">
      <c r="B339" s="6" t="s">
        <v>467</v>
      </c>
      <c r="C339" s="6">
        <v>38</v>
      </c>
      <c r="D339" s="6">
        <v>1038</v>
      </c>
      <c r="E339" s="6">
        <v>9</v>
      </c>
      <c r="F339" s="6" t="s">
        <v>470</v>
      </c>
      <c r="G339" s="6" t="s">
        <v>507</v>
      </c>
      <c r="H339" s="13">
        <v>45389</v>
      </c>
      <c r="I339" s="13">
        <v>45391</v>
      </c>
      <c r="J339" s="6" t="s">
        <v>401</v>
      </c>
      <c r="K339" s="6" t="str">
        <f t="shared" si="10"/>
        <v>insert into Shipment values(38,1038,9,'UPS','TRK00038',to_date('04/07/2024','mm/dd/yyyy'),to_date('04/09/2024','mm/dd/yyyy'),'Delivered');</v>
      </c>
    </row>
    <row r="340" spans="2:11" ht="15.75" customHeight="1" x14ac:dyDescent="0.3">
      <c r="B340" s="6" t="s">
        <v>467</v>
      </c>
      <c r="C340" s="6">
        <v>39</v>
      </c>
      <c r="D340" s="6">
        <v>1039</v>
      </c>
      <c r="E340" s="6">
        <v>10</v>
      </c>
      <c r="F340" s="6" t="s">
        <v>468</v>
      </c>
      <c r="G340" s="6" t="s">
        <v>508</v>
      </c>
      <c r="H340" s="13">
        <v>45390</v>
      </c>
      <c r="I340" s="13">
        <v>45392</v>
      </c>
      <c r="J340" s="6" t="s">
        <v>401</v>
      </c>
      <c r="K340" s="6" t="str">
        <f t="shared" si="10"/>
        <v>insert into Shipment values(39,1039,10,'FedEx','TRK00039',to_date('04/08/2024','mm/dd/yyyy'),to_date('04/10/2024','mm/dd/yyyy'),'Delivered');</v>
      </c>
    </row>
    <row r="341" spans="2:11" ht="15.75" customHeight="1" x14ac:dyDescent="0.3">
      <c r="B341" s="6" t="s">
        <v>467</v>
      </c>
      <c r="C341" s="6">
        <v>40</v>
      </c>
      <c r="D341" s="6">
        <v>1040</v>
      </c>
      <c r="E341" s="6">
        <v>1</v>
      </c>
      <c r="F341" s="6" t="s">
        <v>470</v>
      </c>
      <c r="G341" s="6" t="s">
        <v>509</v>
      </c>
      <c r="H341" s="13">
        <v>45391</v>
      </c>
      <c r="I341" s="13">
        <v>45393</v>
      </c>
      <c r="J341" s="6" t="s">
        <v>401</v>
      </c>
      <c r="K341" s="6" t="str">
        <f t="shared" si="10"/>
        <v>insert into Shipment values(40,1040,1,'UPS','TRK00040',to_date('04/09/2024','mm/dd/yyyy'),to_date('04/11/2024','mm/dd/yyyy'),'Delivered');</v>
      </c>
    </row>
    <row r="342" spans="2:11" ht="15.75" customHeight="1" x14ac:dyDescent="0.3">
      <c r="B342" s="6" t="s">
        <v>467</v>
      </c>
      <c r="C342" s="6">
        <v>41</v>
      </c>
      <c r="D342" s="6">
        <v>1041</v>
      </c>
      <c r="E342" s="6">
        <v>2</v>
      </c>
      <c r="F342" s="6" t="s">
        <v>468</v>
      </c>
      <c r="G342" s="6" t="s">
        <v>510</v>
      </c>
      <c r="H342" s="13">
        <v>45392</v>
      </c>
      <c r="I342" s="13">
        <v>45394</v>
      </c>
      <c r="J342" s="6" t="s">
        <v>401</v>
      </c>
      <c r="K342" s="6" t="str">
        <f t="shared" si="10"/>
        <v>insert into Shipment values(41,1041,2,'FedEx','TRK00041',to_date('04/10/2024','mm/dd/yyyy'),to_date('04/12/2024','mm/dd/yyyy'),'Delivered');</v>
      </c>
    </row>
    <row r="343" spans="2:11" ht="15.75" customHeight="1" x14ac:dyDescent="0.3">
      <c r="B343" s="6" t="s">
        <v>467</v>
      </c>
      <c r="C343" s="6">
        <v>42</v>
      </c>
      <c r="D343" s="6">
        <v>1042</v>
      </c>
      <c r="E343" s="6">
        <v>3</v>
      </c>
      <c r="F343" s="6" t="s">
        <v>470</v>
      </c>
      <c r="G343" s="6" t="s">
        <v>511</v>
      </c>
      <c r="H343" s="13">
        <v>45393</v>
      </c>
      <c r="I343" s="13">
        <v>45395</v>
      </c>
      <c r="J343" s="6" t="s">
        <v>401</v>
      </c>
      <c r="K343" s="6" t="str">
        <f t="shared" si="10"/>
        <v>insert into Shipment values(42,1042,3,'UPS','TRK00042',to_date('04/11/2024','mm/dd/yyyy'),to_date('04/13/2024','mm/dd/yyyy'),'Delivered');</v>
      </c>
    </row>
    <row r="346" spans="2:11" ht="15.75" customHeight="1" x14ac:dyDescent="0.3">
      <c r="B346" s="1" t="s">
        <v>512</v>
      </c>
      <c r="C346" s="2" t="s">
        <v>513</v>
      </c>
      <c r="D346" s="4" t="s">
        <v>462</v>
      </c>
      <c r="E346" s="14" t="s">
        <v>514</v>
      </c>
      <c r="F346" s="3" t="s">
        <v>515</v>
      </c>
      <c r="G346" s="3" t="s">
        <v>516</v>
      </c>
      <c r="H346" s="3" t="s">
        <v>517</v>
      </c>
    </row>
    <row r="347" spans="2:11" ht="15.75" customHeight="1" x14ac:dyDescent="0.3">
      <c r="B347" s="6" t="s">
        <v>518</v>
      </c>
      <c r="C347" s="6">
        <v>1</v>
      </c>
      <c r="D347" s="6" t="s">
        <v>519</v>
      </c>
      <c r="E347" s="6" t="s">
        <v>520</v>
      </c>
      <c r="F347" s="6" t="s">
        <v>521</v>
      </c>
      <c r="G347" s="6" t="s">
        <v>522</v>
      </c>
      <c r="H347" s="6">
        <v>47209</v>
      </c>
      <c r="K347" s="6" t="str">
        <f t="shared" ref="K347:K356" si="11">B347&amp;C347&amp;",'"&amp;D347&amp;"','"&amp;E347&amp;"','"&amp;F347&amp;"','"&amp;G347&amp;"','"&amp;H347&amp;"');"</f>
        <v>insert into Warehouse values(1,'Warehouse 1','34 Industrial Park Drive ','Nashville','TN','47209');</v>
      </c>
    </row>
    <row r="348" spans="2:11" ht="15.75" customHeight="1" x14ac:dyDescent="0.3">
      <c r="B348" s="6" t="s">
        <v>518</v>
      </c>
      <c r="C348" s="6">
        <v>2</v>
      </c>
      <c r="D348" s="6" t="s">
        <v>523</v>
      </c>
      <c r="E348" s="6" t="s">
        <v>524</v>
      </c>
      <c r="F348" s="6" t="s">
        <v>525</v>
      </c>
      <c r="G348" s="6" t="s">
        <v>522</v>
      </c>
      <c r="H348" s="6">
        <v>38111</v>
      </c>
      <c r="K348" s="6" t="str">
        <f t="shared" si="11"/>
        <v>insert into Warehouse values(2,'Warehouse 2','102 County Road 401','Memphis','TN','38111');</v>
      </c>
    </row>
    <row r="349" spans="2:11" ht="15.75" customHeight="1" x14ac:dyDescent="0.3">
      <c r="B349" s="6" t="s">
        <v>518</v>
      </c>
      <c r="C349" s="6">
        <v>3</v>
      </c>
      <c r="D349" s="6" t="s">
        <v>526</v>
      </c>
      <c r="E349" s="6" t="s">
        <v>527</v>
      </c>
      <c r="F349" s="6" t="s">
        <v>528</v>
      </c>
      <c r="G349" s="6" t="s">
        <v>529</v>
      </c>
      <c r="H349" s="6">
        <v>30318</v>
      </c>
      <c r="K349" s="6" t="str">
        <f t="shared" si="11"/>
        <v>insert into Warehouse values(3,'Warehouse 3','18 Ed Perry Boulevard','Atlanta','GA','30318');</v>
      </c>
    </row>
    <row r="350" spans="2:11" ht="15.75" customHeight="1" x14ac:dyDescent="0.3">
      <c r="B350" s="6" t="s">
        <v>518</v>
      </c>
      <c r="C350" s="6">
        <v>4</v>
      </c>
      <c r="D350" s="6" t="s">
        <v>530</v>
      </c>
      <c r="E350" s="6" t="s">
        <v>531</v>
      </c>
      <c r="F350" s="6" t="s">
        <v>525</v>
      </c>
      <c r="G350" s="6" t="s">
        <v>522</v>
      </c>
      <c r="H350" s="6">
        <v>38111</v>
      </c>
      <c r="K350" s="6" t="str">
        <f t="shared" si="11"/>
        <v>insert into Warehouse values(4,'Warehouse 4','250 McLarty Road','Memphis','TN','38111');</v>
      </c>
    </row>
    <row r="351" spans="2:11" ht="15.75" customHeight="1" x14ac:dyDescent="0.3">
      <c r="B351" s="6" t="s">
        <v>518</v>
      </c>
      <c r="C351" s="6">
        <v>5</v>
      </c>
      <c r="D351" s="6" t="s">
        <v>532</v>
      </c>
      <c r="E351" s="6" t="s">
        <v>533</v>
      </c>
      <c r="F351" s="6" t="s">
        <v>534</v>
      </c>
      <c r="G351" s="6" t="s">
        <v>535</v>
      </c>
      <c r="H351" s="6">
        <v>75201</v>
      </c>
      <c r="K351" s="6" t="str">
        <f t="shared" si="11"/>
        <v>insert into Warehouse values(5,'Warehouse 5','71 Highway 7 South ','Dallas','TX','75201');</v>
      </c>
    </row>
    <row r="352" spans="2:11" ht="15.75" customHeight="1" x14ac:dyDescent="0.3">
      <c r="B352" s="6" t="s">
        <v>518</v>
      </c>
      <c r="C352" s="6">
        <v>6</v>
      </c>
      <c r="D352" s="6" t="s">
        <v>536</v>
      </c>
      <c r="E352" s="6" t="s">
        <v>537</v>
      </c>
      <c r="F352" s="6" t="s">
        <v>525</v>
      </c>
      <c r="G352" s="6" t="s">
        <v>522</v>
      </c>
      <c r="H352" s="6">
        <v>38116</v>
      </c>
      <c r="K352" s="6" t="str">
        <f t="shared" si="11"/>
        <v>insert into Warehouse values(6,'Warehouse 6','145 Industrial Park Loop','Memphis','TN','38116');</v>
      </c>
    </row>
    <row r="353" spans="2:11" ht="15.75" customHeight="1" x14ac:dyDescent="0.3">
      <c r="B353" s="6" t="s">
        <v>518</v>
      </c>
      <c r="C353" s="6">
        <v>7</v>
      </c>
      <c r="D353" s="6" t="s">
        <v>538</v>
      </c>
      <c r="E353" s="6" t="s">
        <v>539</v>
      </c>
      <c r="F353" s="6" t="s">
        <v>540</v>
      </c>
      <c r="G353" s="6" t="s">
        <v>529</v>
      </c>
      <c r="H353" s="6">
        <v>30318</v>
      </c>
      <c r="K353" s="6" t="str">
        <f t="shared" si="11"/>
        <v>insert into Warehouse values(7,'Warehouse 7','500 Highway 30 East  ','Atlanda','GA','30318');</v>
      </c>
    </row>
    <row r="354" spans="2:11" ht="15.75" customHeight="1" x14ac:dyDescent="0.3">
      <c r="B354" s="6" t="s">
        <v>518</v>
      </c>
      <c r="C354" s="6">
        <v>8</v>
      </c>
      <c r="D354" s="6" t="s">
        <v>541</v>
      </c>
      <c r="E354" s="6" t="s">
        <v>542</v>
      </c>
      <c r="F354" s="6" t="s">
        <v>351</v>
      </c>
      <c r="G354" s="6" t="s">
        <v>352</v>
      </c>
      <c r="H354" s="6">
        <v>38655</v>
      </c>
      <c r="K354" s="6" t="str">
        <f t="shared" si="11"/>
        <v>insert into Warehouse values(8,'Warehouse 8','2600 West Oxford Loop','Oxford','MS','38655');</v>
      </c>
    </row>
    <row r="355" spans="2:11" ht="15.75" customHeight="1" x14ac:dyDescent="0.3">
      <c r="B355" s="6" t="s">
        <v>518</v>
      </c>
      <c r="C355" s="6">
        <v>9</v>
      </c>
      <c r="D355" s="6" t="s">
        <v>543</v>
      </c>
      <c r="E355" s="6" t="s">
        <v>544</v>
      </c>
      <c r="F355" s="6" t="s">
        <v>534</v>
      </c>
      <c r="G355" s="6" t="s">
        <v>535</v>
      </c>
      <c r="H355" s="6">
        <v>75209</v>
      </c>
      <c r="K355" s="6" t="str">
        <f t="shared" si="11"/>
        <v>insert into Warehouse values(9,'Warehouse 9','12 Office Park Drive','Dallas','TX','75209');</v>
      </c>
    </row>
    <row r="356" spans="2:11" ht="15.75" customHeight="1" x14ac:dyDescent="0.3">
      <c r="B356" s="6" t="s">
        <v>518</v>
      </c>
      <c r="C356" s="6">
        <v>10</v>
      </c>
      <c r="D356" s="6" t="s">
        <v>545</v>
      </c>
      <c r="E356" s="6" t="s">
        <v>546</v>
      </c>
      <c r="F356" s="6" t="s">
        <v>528</v>
      </c>
      <c r="G356" s="6" t="s">
        <v>529</v>
      </c>
      <c r="H356" s="6">
        <v>30339</v>
      </c>
      <c r="K356" s="6" t="str">
        <f t="shared" si="11"/>
        <v>insert into Warehouse values(10,'Warehouse 10','212 Allison Cove ','Atlanta','GA','30339');</v>
      </c>
    </row>
    <row r="359" spans="2:11" ht="15.75" customHeight="1" x14ac:dyDescent="0.3">
      <c r="B359" s="1" t="s">
        <v>547</v>
      </c>
      <c r="C359" s="2" t="s">
        <v>513</v>
      </c>
      <c r="D359" s="4" t="s">
        <v>1</v>
      </c>
      <c r="E359" s="4" t="s">
        <v>462</v>
      </c>
      <c r="F359" s="3" t="s">
        <v>548</v>
      </c>
      <c r="G359" s="3" t="s">
        <v>549</v>
      </c>
      <c r="H359" s="3" t="s">
        <v>550</v>
      </c>
    </row>
    <row r="360" spans="2:11" ht="15.75" customHeight="1" x14ac:dyDescent="0.3">
      <c r="B360" s="6" t="s">
        <v>551</v>
      </c>
      <c r="C360" s="6">
        <v>1</v>
      </c>
      <c r="D360" s="6">
        <v>1</v>
      </c>
      <c r="E360" s="6">
        <v>1</v>
      </c>
      <c r="F360" s="6">
        <v>30</v>
      </c>
      <c r="G360" s="6">
        <v>10</v>
      </c>
      <c r="H360" s="6">
        <v>5</v>
      </c>
      <c r="I360" s="13"/>
      <c r="K360" s="6" t="str">
        <f t="shared" ref="K360:K381" si="12">B360&amp;C360&amp;","&amp;D360&amp;","&amp;E360&amp;","&amp;F360&amp;","&amp;G360&amp;","&amp;H360&amp;");"</f>
        <v>insert into Inventory values(1,1,1,30,10,5);</v>
      </c>
    </row>
    <row r="361" spans="2:11" ht="15.75" customHeight="1" x14ac:dyDescent="0.3">
      <c r="B361" s="6" t="s">
        <v>551</v>
      </c>
      <c r="C361" s="6">
        <v>2</v>
      </c>
      <c r="D361" s="6">
        <v>2</v>
      </c>
      <c r="E361" s="6">
        <v>2</v>
      </c>
      <c r="F361" s="6">
        <v>23</v>
      </c>
      <c r="G361" s="6">
        <v>10</v>
      </c>
      <c r="H361" s="6">
        <v>5</v>
      </c>
      <c r="I361" s="13"/>
      <c r="K361" s="6" t="str">
        <f t="shared" si="12"/>
        <v>insert into Inventory values(2,2,2,23,10,5);</v>
      </c>
    </row>
    <row r="362" spans="2:11" ht="15.75" customHeight="1" x14ac:dyDescent="0.3">
      <c r="B362" s="6" t="s">
        <v>551</v>
      </c>
      <c r="C362" s="6">
        <v>3</v>
      </c>
      <c r="D362" s="6">
        <v>3</v>
      </c>
      <c r="E362" s="6">
        <v>3</v>
      </c>
      <c r="F362" s="6">
        <v>14</v>
      </c>
      <c r="G362" s="6">
        <v>10</v>
      </c>
      <c r="H362" s="6">
        <v>5</v>
      </c>
      <c r="I362" s="13"/>
      <c r="K362" s="6" t="str">
        <f t="shared" si="12"/>
        <v>insert into Inventory values(3,3,3,14,10,5);</v>
      </c>
    </row>
    <row r="363" spans="2:11" ht="15.75" customHeight="1" x14ac:dyDescent="0.3">
      <c r="B363" s="6" t="s">
        <v>551</v>
      </c>
      <c r="C363" s="6">
        <v>4</v>
      </c>
      <c r="D363" s="6">
        <v>4</v>
      </c>
      <c r="E363" s="6">
        <v>4</v>
      </c>
      <c r="F363" s="6">
        <v>43</v>
      </c>
      <c r="G363" s="6">
        <v>10</v>
      </c>
      <c r="H363" s="6">
        <v>5</v>
      </c>
      <c r="I363" s="13"/>
      <c r="K363" s="6" t="str">
        <f t="shared" si="12"/>
        <v>insert into Inventory values(4,4,4,43,10,5);</v>
      </c>
    </row>
    <row r="364" spans="2:11" ht="15.75" customHeight="1" x14ac:dyDescent="0.3">
      <c r="B364" s="6" t="s">
        <v>551</v>
      </c>
      <c r="C364" s="6">
        <v>5</v>
      </c>
      <c r="D364" s="6">
        <v>5</v>
      </c>
      <c r="E364" s="6">
        <v>5</v>
      </c>
      <c r="F364" s="6">
        <v>20</v>
      </c>
      <c r="G364" s="6">
        <v>10</v>
      </c>
      <c r="H364" s="6">
        <v>5</v>
      </c>
      <c r="I364" s="13"/>
      <c r="K364" s="6" t="str">
        <f t="shared" si="12"/>
        <v>insert into Inventory values(5,5,5,20,10,5);</v>
      </c>
    </row>
    <row r="365" spans="2:11" ht="15.75" customHeight="1" x14ac:dyDescent="0.3">
      <c r="B365" s="6" t="s">
        <v>551</v>
      </c>
      <c r="C365" s="6">
        <v>6</v>
      </c>
      <c r="D365" s="6">
        <v>6</v>
      </c>
      <c r="E365" s="6">
        <v>6</v>
      </c>
      <c r="F365" s="6">
        <v>22</v>
      </c>
      <c r="G365" s="6">
        <v>10</v>
      </c>
      <c r="H365" s="6">
        <v>5</v>
      </c>
      <c r="I365" s="13"/>
      <c r="K365" s="6" t="str">
        <f t="shared" si="12"/>
        <v>insert into Inventory values(6,6,6,22,10,5);</v>
      </c>
    </row>
    <row r="366" spans="2:11" ht="15.75" customHeight="1" x14ac:dyDescent="0.3">
      <c r="B366" s="6" t="s">
        <v>551</v>
      </c>
      <c r="C366" s="6">
        <v>7</v>
      </c>
      <c r="D366" s="6">
        <v>7</v>
      </c>
      <c r="E366" s="6">
        <v>7</v>
      </c>
      <c r="F366" s="6">
        <v>24</v>
      </c>
      <c r="G366" s="6">
        <v>10</v>
      </c>
      <c r="H366" s="6">
        <v>5</v>
      </c>
      <c r="I366" s="13"/>
      <c r="K366" s="6" t="str">
        <f t="shared" si="12"/>
        <v>insert into Inventory values(7,7,7,24,10,5);</v>
      </c>
    </row>
    <row r="367" spans="2:11" ht="15.75" customHeight="1" x14ac:dyDescent="0.3">
      <c r="B367" s="6" t="s">
        <v>551</v>
      </c>
      <c r="C367" s="6">
        <v>8</v>
      </c>
      <c r="D367" s="6">
        <v>8</v>
      </c>
      <c r="E367" s="6">
        <v>8</v>
      </c>
      <c r="F367" s="6">
        <v>26</v>
      </c>
      <c r="G367" s="6">
        <v>10</v>
      </c>
      <c r="H367" s="6">
        <v>5</v>
      </c>
      <c r="I367" s="13"/>
      <c r="K367" s="6" t="str">
        <f t="shared" si="12"/>
        <v>insert into Inventory values(8,8,8,26,10,5);</v>
      </c>
    </row>
    <row r="368" spans="2:11" ht="15.75" customHeight="1" x14ac:dyDescent="0.3">
      <c r="B368" s="6" t="s">
        <v>551</v>
      </c>
      <c r="C368" s="6">
        <v>9</v>
      </c>
      <c r="D368" s="6">
        <v>9</v>
      </c>
      <c r="E368" s="6">
        <v>9</v>
      </c>
      <c r="F368" s="6">
        <v>28</v>
      </c>
      <c r="G368" s="6">
        <v>10</v>
      </c>
      <c r="H368" s="6">
        <v>5</v>
      </c>
      <c r="I368" s="13"/>
      <c r="K368" s="6" t="str">
        <f t="shared" si="12"/>
        <v>insert into Inventory values(9,9,9,28,10,5);</v>
      </c>
    </row>
    <row r="369" spans="2:11" ht="15.75" customHeight="1" x14ac:dyDescent="0.3">
      <c r="B369" s="6" t="s">
        <v>551</v>
      </c>
      <c r="C369" s="6">
        <v>10</v>
      </c>
      <c r="D369" s="6">
        <v>10</v>
      </c>
      <c r="E369" s="6">
        <v>10</v>
      </c>
      <c r="F369" s="6">
        <v>31</v>
      </c>
      <c r="G369" s="6">
        <v>10</v>
      </c>
      <c r="H369" s="6">
        <v>5</v>
      </c>
      <c r="I369" s="13"/>
      <c r="K369" s="6" t="str">
        <f t="shared" si="12"/>
        <v>insert into Inventory values(10,10,10,31,10,5);</v>
      </c>
    </row>
    <row r="370" spans="2:11" ht="15.75" customHeight="1" x14ac:dyDescent="0.3">
      <c r="B370" s="6" t="s">
        <v>551</v>
      </c>
      <c r="C370" s="6">
        <v>11</v>
      </c>
      <c r="D370" s="6">
        <v>11</v>
      </c>
      <c r="E370" s="6">
        <v>1</v>
      </c>
      <c r="F370" s="6">
        <v>32</v>
      </c>
      <c r="G370" s="6">
        <v>10</v>
      </c>
      <c r="H370" s="6">
        <v>5</v>
      </c>
      <c r="I370" s="13"/>
      <c r="K370" s="6" t="str">
        <f t="shared" si="12"/>
        <v>insert into Inventory values(11,11,1,32,10,5);</v>
      </c>
    </row>
    <row r="371" spans="2:11" ht="15.75" customHeight="1" x14ac:dyDescent="0.3">
      <c r="B371" s="6" t="s">
        <v>551</v>
      </c>
      <c r="C371" s="6">
        <v>12</v>
      </c>
      <c r="D371" s="6">
        <v>12</v>
      </c>
      <c r="E371" s="6">
        <v>2</v>
      </c>
      <c r="F371" s="6">
        <v>34</v>
      </c>
      <c r="G371" s="6">
        <v>10</v>
      </c>
      <c r="H371" s="6">
        <v>5</v>
      </c>
      <c r="I371" s="13"/>
      <c r="K371" s="6" t="str">
        <f t="shared" si="12"/>
        <v>insert into Inventory values(12,12,2,34,10,5);</v>
      </c>
    </row>
    <row r="372" spans="2:11" ht="15.75" customHeight="1" x14ac:dyDescent="0.3">
      <c r="B372" s="6" t="s">
        <v>551</v>
      </c>
      <c r="C372" s="6">
        <v>13</v>
      </c>
      <c r="D372" s="6">
        <v>13</v>
      </c>
      <c r="E372" s="6">
        <v>1</v>
      </c>
      <c r="F372" s="6">
        <v>59</v>
      </c>
      <c r="G372" s="6">
        <v>10</v>
      </c>
      <c r="H372" s="6">
        <v>5</v>
      </c>
      <c r="K372" s="6" t="str">
        <f t="shared" si="12"/>
        <v>insert into Inventory values(13,13,1,59,10,5);</v>
      </c>
    </row>
    <row r="373" spans="2:11" ht="15.75" customHeight="1" x14ac:dyDescent="0.3">
      <c r="B373" s="6" t="s">
        <v>551</v>
      </c>
      <c r="C373" s="6">
        <v>14</v>
      </c>
      <c r="D373" s="6">
        <v>14</v>
      </c>
      <c r="E373" s="6">
        <v>2</v>
      </c>
      <c r="F373" s="6">
        <v>18</v>
      </c>
      <c r="G373" s="6">
        <v>10</v>
      </c>
      <c r="H373" s="6">
        <v>5</v>
      </c>
      <c r="K373" s="6" t="str">
        <f t="shared" si="12"/>
        <v>insert into Inventory values(14,14,2,18,10,5);</v>
      </c>
    </row>
    <row r="374" spans="2:11" ht="15.75" customHeight="1" x14ac:dyDescent="0.3">
      <c r="B374" s="6" t="s">
        <v>551</v>
      </c>
      <c r="C374" s="6">
        <v>15</v>
      </c>
      <c r="D374" s="6">
        <v>15</v>
      </c>
      <c r="E374" s="6">
        <v>3</v>
      </c>
      <c r="F374" s="6">
        <v>73</v>
      </c>
      <c r="G374" s="6">
        <v>10</v>
      </c>
      <c r="H374" s="6">
        <v>5</v>
      </c>
      <c r="K374" s="6" t="str">
        <f t="shared" si="12"/>
        <v>insert into Inventory values(15,15,3,73,10,5);</v>
      </c>
    </row>
    <row r="375" spans="2:11" ht="15.75" customHeight="1" x14ac:dyDescent="0.3">
      <c r="B375" s="6" t="s">
        <v>551</v>
      </c>
      <c r="C375" s="6">
        <v>16</v>
      </c>
      <c r="D375" s="6">
        <v>16</v>
      </c>
      <c r="E375" s="6">
        <v>4</v>
      </c>
      <c r="F375" s="6">
        <v>57</v>
      </c>
      <c r="G375" s="6">
        <v>10</v>
      </c>
      <c r="H375" s="6">
        <v>5</v>
      </c>
      <c r="K375" s="6" t="str">
        <f t="shared" si="12"/>
        <v>insert into Inventory values(16,16,4,57,10,5);</v>
      </c>
    </row>
    <row r="376" spans="2:11" ht="15.75" customHeight="1" x14ac:dyDescent="0.3">
      <c r="B376" s="6" t="s">
        <v>551</v>
      </c>
      <c r="C376" s="6">
        <v>17</v>
      </c>
      <c r="D376" s="6">
        <v>17</v>
      </c>
      <c r="E376" s="6">
        <v>5</v>
      </c>
      <c r="F376" s="6">
        <v>44</v>
      </c>
      <c r="G376" s="6">
        <v>10</v>
      </c>
      <c r="H376" s="6">
        <v>5</v>
      </c>
      <c r="K376" s="6" t="str">
        <f t="shared" si="12"/>
        <v>insert into Inventory values(17,17,5,44,10,5);</v>
      </c>
    </row>
    <row r="377" spans="2:11" ht="15.75" customHeight="1" x14ac:dyDescent="0.3">
      <c r="B377" s="6" t="s">
        <v>551</v>
      </c>
      <c r="C377" s="6">
        <v>18</v>
      </c>
      <c r="D377" s="6">
        <v>18</v>
      </c>
      <c r="E377" s="6">
        <v>6</v>
      </c>
      <c r="F377" s="6">
        <v>20</v>
      </c>
      <c r="G377" s="6">
        <v>10</v>
      </c>
      <c r="H377" s="6">
        <v>5</v>
      </c>
      <c r="K377" s="6" t="str">
        <f t="shared" si="12"/>
        <v>insert into Inventory values(18,18,6,20,10,5);</v>
      </c>
    </row>
    <row r="378" spans="2:11" ht="15.75" customHeight="1" x14ac:dyDescent="0.3">
      <c r="B378" s="6" t="s">
        <v>551</v>
      </c>
      <c r="C378" s="6">
        <v>19</v>
      </c>
      <c r="D378" s="6">
        <v>19</v>
      </c>
      <c r="E378" s="6">
        <v>7</v>
      </c>
      <c r="F378" s="6">
        <v>19</v>
      </c>
      <c r="G378" s="6">
        <v>10</v>
      </c>
      <c r="H378" s="6">
        <v>5</v>
      </c>
      <c r="K378" s="6" t="str">
        <f t="shared" si="12"/>
        <v>insert into Inventory values(19,19,7,19,10,5);</v>
      </c>
    </row>
    <row r="379" spans="2:11" ht="15.75" customHeight="1" x14ac:dyDescent="0.3">
      <c r="B379" s="6" t="s">
        <v>551</v>
      </c>
      <c r="C379" s="6">
        <v>20</v>
      </c>
      <c r="D379" s="6">
        <v>20</v>
      </c>
      <c r="E379" s="6">
        <v>8</v>
      </c>
      <c r="F379" s="6">
        <v>11</v>
      </c>
      <c r="G379" s="6">
        <v>10</v>
      </c>
      <c r="H379" s="6">
        <v>5</v>
      </c>
      <c r="K379" s="6" t="str">
        <f t="shared" si="12"/>
        <v>insert into Inventory values(20,20,8,11,10,5);</v>
      </c>
    </row>
    <row r="380" spans="2:11" ht="15.75" customHeight="1" x14ac:dyDescent="0.3">
      <c r="B380" s="6" t="s">
        <v>551</v>
      </c>
      <c r="C380" s="6">
        <v>21</v>
      </c>
      <c r="D380" s="6">
        <v>21</v>
      </c>
      <c r="E380" s="6">
        <v>9</v>
      </c>
      <c r="F380" s="6">
        <v>53</v>
      </c>
      <c r="G380" s="6">
        <v>10</v>
      </c>
      <c r="H380" s="6">
        <v>5</v>
      </c>
      <c r="K380" s="6" t="str">
        <f t="shared" si="12"/>
        <v>insert into Inventory values(21,21,9,53,10,5);</v>
      </c>
    </row>
    <row r="381" spans="2:11" ht="15.75" customHeight="1" x14ac:dyDescent="0.3">
      <c r="B381" s="6" t="s">
        <v>551</v>
      </c>
      <c r="C381" s="6">
        <v>22</v>
      </c>
      <c r="D381" s="6">
        <v>22</v>
      </c>
      <c r="E381" s="6">
        <v>10</v>
      </c>
      <c r="F381" s="6">
        <v>71</v>
      </c>
      <c r="G381" s="6">
        <v>10</v>
      </c>
      <c r="H381" s="6">
        <v>5</v>
      </c>
      <c r="K381" s="6" t="str">
        <f t="shared" si="12"/>
        <v>insert into Inventory values(22,22,10,71,10,5);</v>
      </c>
    </row>
    <row r="385" spans="2:11" ht="15.75" customHeight="1" x14ac:dyDescent="0.3">
      <c r="B385" s="1" t="s">
        <v>552</v>
      </c>
      <c r="C385" s="2" t="s">
        <v>553</v>
      </c>
      <c r="D385" s="4" t="s">
        <v>395</v>
      </c>
      <c r="E385" s="4" t="s">
        <v>173</v>
      </c>
      <c r="F385" s="3" t="s">
        <v>398</v>
      </c>
      <c r="G385" s="3" t="s">
        <v>554</v>
      </c>
      <c r="H385" s="3" t="s">
        <v>555</v>
      </c>
    </row>
    <row r="386" spans="2:11" ht="15.75" customHeight="1" x14ac:dyDescent="0.3">
      <c r="B386" s="6" t="s">
        <v>556</v>
      </c>
      <c r="C386" s="6">
        <v>1</v>
      </c>
      <c r="D386" s="6">
        <v>1000</v>
      </c>
      <c r="E386" s="6">
        <v>1</v>
      </c>
      <c r="F386" s="6" t="s">
        <v>557</v>
      </c>
      <c r="G386" s="6">
        <v>1899.99</v>
      </c>
      <c r="H386" s="6" t="s">
        <v>558</v>
      </c>
      <c r="K386" s="6" t="str">
        <f t="shared" ref="K386:K398" si="13">B386&amp;C386&amp;","&amp;D386&amp;","&amp;E386&amp;",'"&amp;F386&amp;"',"&amp;G386&amp;",'"&amp;H386&amp;"');"</f>
        <v>insert into Return values(1,1000,1,'Pending',1899.99,'OTHER');</v>
      </c>
    </row>
    <row r="387" spans="2:11" ht="15.75" customHeight="1" x14ac:dyDescent="0.3">
      <c r="B387" s="6" t="s">
        <v>556</v>
      </c>
      <c r="C387" s="6">
        <v>2</v>
      </c>
      <c r="D387" s="6">
        <v>1002</v>
      </c>
      <c r="E387" s="6">
        <v>2</v>
      </c>
      <c r="F387" s="6" t="s">
        <v>557</v>
      </c>
      <c r="G387" s="6">
        <v>1199</v>
      </c>
      <c r="H387" s="6" t="s">
        <v>559</v>
      </c>
      <c r="K387" s="6" t="str">
        <f t="shared" si="13"/>
        <v>insert into Return values(2,1002,2,'Pending',1199,'DAMAGED');</v>
      </c>
    </row>
    <row r="388" spans="2:11" ht="15.75" customHeight="1" x14ac:dyDescent="0.3">
      <c r="B388" s="6" t="s">
        <v>556</v>
      </c>
      <c r="C388" s="6">
        <v>3</v>
      </c>
      <c r="D388" s="6">
        <v>1003</v>
      </c>
      <c r="E388" s="6">
        <v>3</v>
      </c>
      <c r="F388" s="6" t="s">
        <v>560</v>
      </c>
      <c r="G388" s="6">
        <v>1499</v>
      </c>
      <c r="H388" s="6" t="s">
        <v>558</v>
      </c>
      <c r="K388" s="6" t="str">
        <f t="shared" si="13"/>
        <v>insert into Return values(3,1003,3,'Approved',1499,'OTHER');</v>
      </c>
    </row>
    <row r="389" spans="2:11" ht="15.75" customHeight="1" x14ac:dyDescent="0.3">
      <c r="B389" s="6" t="s">
        <v>556</v>
      </c>
      <c r="C389" s="6">
        <v>4</v>
      </c>
      <c r="D389" s="6">
        <v>1004</v>
      </c>
      <c r="E389" s="6">
        <v>4</v>
      </c>
      <c r="F389" s="6" t="s">
        <v>560</v>
      </c>
      <c r="G389" s="6">
        <v>1799.99</v>
      </c>
      <c r="H389" s="6" t="s">
        <v>561</v>
      </c>
      <c r="K389" s="6" t="str">
        <f t="shared" si="13"/>
        <v>insert into Return values(4,1004,4,'Approved',1799.99,'WRONG_ITEM');</v>
      </c>
    </row>
    <row r="390" spans="2:11" ht="15.75" customHeight="1" x14ac:dyDescent="0.3">
      <c r="B390" s="6" t="s">
        <v>556</v>
      </c>
      <c r="C390" s="6">
        <v>5</v>
      </c>
      <c r="D390" s="6">
        <v>1005</v>
      </c>
      <c r="E390" s="6">
        <v>5</v>
      </c>
      <c r="F390" s="6" t="s">
        <v>560</v>
      </c>
      <c r="G390" s="6">
        <v>329.99</v>
      </c>
      <c r="H390" s="6" t="s">
        <v>562</v>
      </c>
      <c r="K390" s="6" t="str">
        <f t="shared" si="13"/>
        <v>insert into Return values(5,1005,5,'Approved',329.99,'DEFECTIVE');</v>
      </c>
    </row>
    <row r="391" spans="2:11" ht="15.75" customHeight="1" x14ac:dyDescent="0.3">
      <c r="B391" s="6" t="s">
        <v>556</v>
      </c>
      <c r="C391" s="6">
        <v>6</v>
      </c>
      <c r="D391" s="6">
        <v>1007</v>
      </c>
      <c r="E391" s="6">
        <v>7</v>
      </c>
      <c r="F391" s="6" t="s">
        <v>557</v>
      </c>
      <c r="G391" s="6">
        <v>119.99</v>
      </c>
      <c r="H391" s="6" t="s">
        <v>558</v>
      </c>
      <c r="K391" s="6" t="str">
        <f t="shared" si="13"/>
        <v>insert into Return values(6,1007,7,'Pending',119.99,'OTHER');</v>
      </c>
    </row>
    <row r="392" spans="2:11" ht="15.75" customHeight="1" x14ac:dyDescent="0.3">
      <c r="B392" s="6" t="s">
        <v>556</v>
      </c>
      <c r="C392" s="6">
        <v>7</v>
      </c>
      <c r="D392" s="6">
        <v>1008</v>
      </c>
      <c r="E392" s="6">
        <v>8</v>
      </c>
      <c r="F392" s="6" t="s">
        <v>560</v>
      </c>
      <c r="G392" s="6">
        <v>99.99</v>
      </c>
      <c r="H392" s="6" t="s">
        <v>559</v>
      </c>
      <c r="K392" s="6" t="str">
        <f t="shared" si="13"/>
        <v>insert into Return values(7,1008,8,'Approved',99.99,'DAMAGED');</v>
      </c>
    </row>
    <row r="393" spans="2:11" ht="15.75" customHeight="1" x14ac:dyDescent="0.3">
      <c r="B393" s="6" t="s">
        <v>556</v>
      </c>
      <c r="C393" s="6">
        <v>8</v>
      </c>
      <c r="D393" s="6">
        <v>1010</v>
      </c>
      <c r="E393" s="6">
        <v>10</v>
      </c>
      <c r="F393" s="6" t="s">
        <v>560</v>
      </c>
      <c r="G393" s="6">
        <v>279.99</v>
      </c>
      <c r="H393" s="6" t="s">
        <v>562</v>
      </c>
      <c r="K393" s="6" t="str">
        <f t="shared" si="13"/>
        <v>insert into Return values(8,1010,10,'Approved',279.99,'DEFECTIVE');</v>
      </c>
    </row>
    <row r="394" spans="2:11" ht="15.75" customHeight="1" x14ac:dyDescent="0.3">
      <c r="B394" s="6" t="s">
        <v>556</v>
      </c>
      <c r="C394" s="6">
        <v>9</v>
      </c>
      <c r="D394" s="6">
        <v>1011</v>
      </c>
      <c r="E394" s="6">
        <v>11</v>
      </c>
      <c r="F394" s="6" t="s">
        <v>557</v>
      </c>
      <c r="G394" s="6">
        <v>2199.9899999999998</v>
      </c>
      <c r="H394" s="6" t="s">
        <v>558</v>
      </c>
      <c r="K394" s="6" t="str">
        <f t="shared" si="13"/>
        <v>insert into Return values(9,1011,11,'Pending',2199.99,'OTHER');</v>
      </c>
    </row>
    <row r="395" spans="2:11" ht="15.75" customHeight="1" x14ac:dyDescent="0.3">
      <c r="B395" s="6" t="s">
        <v>556</v>
      </c>
      <c r="C395" s="6">
        <v>10</v>
      </c>
      <c r="D395" s="6">
        <v>1013</v>
      </c>
      <c r="E395" s="6">
        <v>13</v>
      </c>
      <c r="F395" s="6" t="s">
        <v>560</v>
      </c>
      <c r="G395" s="6">
        <v>749.99</v>
      </c>
      <c r="H395" s="6" t="s">
        <v>558</v>
      </c>
      <c r="K395" s="6" t="str">
        <f t="shared" si="13"/>
        <v>insert into Return values(10,1013,13,'Approved',749.99,'OTHER');</v>
      </c>
    </row>
    <row r="396" spans="2:11" ht="15.75" customHeight="1" x14ac:dyDescent="0.3">
      <c r="B396" s="6" t="s">
        <v>556</v>
      </c>
      <c r="C396" s="6">
        <v>11</v>
      </c>
      <c r="D396" s="6">
        <v>1014</v>
      </c>
      <c r="E396" s="6">
        <v>14</v>
      </c>
      <c r="F396" s="6" t="s">
        <v>557</v>
      </c>
      <c r="G396" s="6">
        <v>1999</v>
      </c>
      <c r="H396" s="6" t="s">
        <v>559</v>
      </c>
      <c r="K396" s="6" t="str">
        <f t="shared" si="13"/>
        <v>insert into Return values(11,1014,14,'Pending',1999,'DAMAGED');</v>
      </c>
    </row>
    <row r="397" spans="2:11" ht="15.75" customHeight="1" x14ac:dyDescent="0.3">
      <c r="B397" s="6" t="s">
        <v>556</v>
      </c>
      <c r="C397" s="6">
        <v>12</v>
      </c>
      <c r="D397" s="6">
        <v>1017</v>
      </c>
      <c r="E397" s="6">
        <v>17</v>
      </c>
      <c r="F397" s="6" t="s">
        <v>557</v>
      </c>
      <c r="G397" s="6">
        <v>399.99</v>
      </c>
      <c r="H397" s="6" t="s">
        <v>558</v>
      </c>
      <c r="K397" s="6" t="str">
        <f t="shared" si="13"/>
        <v>insert into Return values(12,1017,17,'Pending',399.99,'OTHER');</v>
      </c>
    </row>
    <row r="398" spans="2:11" ht="15.75" customHeight="1" x14ac:dyDescent="0.3">
      <c r="B398" s="6" t="s">
        <v>556</v>
      </c>
      <c r="C398" s="6">
        <v>13</v>
      </c>
      <c r="D398" s="6">
        <v>1018</v>
      </c>
      <c r="E398" s="6">
        <v>18</v>
      </c>
      <c r="F398" s="6" t="s">
        <v>560</v>
      </c>
      <c r="G398" s="6">
        <v>1499.99</v>
      </c>
      <c r="H398" s="6" t="s">
        <v>558</v>
      </c>
      <c r="K398" s="6" t="str">
        <f t="shared" si="13"/>
        <v>insert into Return values(13,1018,18,'Approved',1499.99,'OTHER');</v>
      </c>
    </row>
    <row r="402" spans="2:11" ht="15.75" customHeight="1" x14ac:dyDescent="0.3">
      <c r="B402" s="1" t="s">
        <v>563</v>
      </c>
      <c r="C402" s="7" t="s">
        <v>564</v>
      </c>
      <c r="D402" s="8" t="s">
        <v>1</v>
      </c>
      <c r="E402" s="8" t="s">
        <v>173</v>
      </c>
      <c r="F402" s="9" t="s">
        <v>129</v>
      </c>
      <c r="G402" s="9" t="s">
        <v>565</v>
      </c>
      <c r="H402" s="9" t="s">
        <v>566</v>
      </c>
    </row>
    <row r="403" spans="2:11" ht="15.75" customHeight="1" x14ac:dyDescent="0.3">
      <c r="B403" s="6" t="s">
        <v>567</v>
      </c>
      <c r="C403" s="6">
        <v>1</v>
      </c>
      <c r="D403" s="6">
        <v>1</v>
      </c>
      <c r="E403" s="6">
        <v>1</v>
      </c>
      <c r="F403" s="6">
        <v>2</v>
      </c>
      <c r="G403" s="6" t="s">
        <v>568</v>
      </c>
      <c r="H403" s="13">
        <v>45413</v>
      </c>
      <c r="K403" s="6" t="str">
        <f t="shared" ref="K403:K419" si="14">B403&amp;C403&amp;","&amp;D403&amp;","&amp;E403&amp;","&amp;F403&amp;",'"&amp;G403&amp;"',to_date('"&amp;TEXT(H403,"mm/dd/yyyy")&amp;"','mm/dd/yyyy'));"</f>
        <v>insert into Review values(1,1,1,2,'Product arrived quickly and works great. The build quality feels premium',to_date('05/01/2024','mm/dd/yyyy'));</v>
      </c>
    </row>
    <row r="404" spans="2:11" ht="15.75" customHeight="1" x14ac:dyDescent="0.3">
      <c r="B404" s="6" t="s">
        <v>567</v>
      </c>
      <c r="C404" s="6">
        <v>2</v>
      </c>
      <c r="D404" s="6">
        <v>2</v>
      </c>
      <c r="E404" s="6">
        <v>2</v>
      </c>
      <c r="F404" s="6">
        <v>3</v>
      </c>
      <c r="G404" s="6" t="s">
        <v>569</v>
      </c>
      <c r="H404" s="13">
        <v>45414</v>
      </c>
      <c r="K404" s="6" t="str">
        <f t="shared" si="14"/>
        <v>insert into Review values(2,2,2,3,'Good performance, but the battery life could be better. Still a strong value overall',to_date('05/02/2024','mm/dd/yyyy'));</v>
      </c>
    </row>
    <row r="405" spans="2:11" ht="15.75" customHeight="1" x14ac:dyDescent="0.3">
      <c r="B405" s="6" t="s">
        <v>567</v>
      </c>
      <c r="C405" s="6">
        <v>3</v>
      </c>
      <c r="D405" s="6">
        <v>3</v>
      </c>
      <c r="E405" s="6">
        <v>3</v>
      </c>
      <c r="F405" s="6">
        <v>4</v>
      </c>
      <c r="G405" s="6" t="s">
        <v>570</v>
      </c>
      <c r="H405" s="13">
        <v>45415</v>
      </c>
      <c r="K405" s="6" t="str">
        <f t="shared" si="14"/>
        <v>insert into Review values(3,3,3,4,'Exceeded expectations. I use this every day for work and haven’t run into a single issue',to_date('05/03/2024','mm/dd/yyyy'));</v>
      </c>
    </row>
    <row r="406" spans="2:11" ht="15.75" customHeight="1" x14ac:dyDescent="0.3">
      <c r="B406" s="6" t="s">
        <v>567</v>
      </c>
      <c r="C406" s="6">
        <v>5</v>
      </c>
      <c r="D406" s="6">
        <v>5</v>
      </c>
      <c r="E406" s="6">
        <v>5</v>
      </c>
      <c r="F406" s="6">
        <v>1</v>
      </c>
      <c r="G406" s="6" t="s">
        <v>571</v>
      </c>
      <c r="H406" s="13">
        <v>45417</v>
      </c>
      <c r="K406" s="6" t="str">
        <f t="shared" si="14"/>
        <v>insert into Review values(5,5,5,1,'It is okay, but not as durable as I hoped. Might be better for light or casual use',to_date('05/05/2024','mm/dd/yyyy'));</v>
      </c>
    </row>
    <row r="407" spans="2:11" ht="15.75" customHeight="1" x14ac:dyDescent="0.3">
      <c r="B407" s="6" t="s">
        <v>567</v>
      </c>
      <c r="C407" s="6">
        <v>6</v>
      </c>
      <c r="D407" s="6">
        <v>6</v>
      </c>
      <c r="E407" s="6">
        <v>6</v>
      </c>
      <c r="F407" s="6">
        <v>2</v>
      </c>
      <c r="G407" s="6" t="s">
        <v>572</v>
      </c>
      <c r="H407" s="13">
        <v>45418</v>
      </c>
      <c r="K407" s="6" t="str">
        <f t="shared" si="14"/>
        <v>insert into Review values(6,6,6,2,'Loving the smooth setup and fast speeds. Great pick for anyone needing solid performance',to_date('05/06/2024','mm/dd/yyyy'));</v>
      </c>
    </row>
    <row r="408" spans="2:11" ht="15.75" customHeight="1" x14ac:dyDescent="0.3">
      <c r="B408" s="6" t="s">
        <v>567</v>
      </c>
      <c r="C408" s="6">
        <v>8</v>
      </c>
      <c r="D408" s="6">
        <v>8</v>
      </c>
      <c r="E408" s="6">
        <v>8</v>
      </c>
      <c r="F408" s="6">
        <v>4</v>
      </c>
      <c r="G408" s="6" t="s">
        <v>573</v>
      </c>
      <c r="H408" s="13">
        <v>45420</v>
      </c>
      <c r="K408" s="6" t="str">
        <f t="shared" si="14"/>
        <v>insert into Review values(8,8,8,4,'Decent features, but the price feels a little high. Customer support was helpful though',to_date('05/08/2024','mm/dd/yyyy'));</v>
      </c>
    </row>
    <row r="409" spans="2:11" ht="15.75" customHeight="1" x14ac:dyDescent="0.3">
      <c r="B409" s="6" t="s">
        <v>567</v>
      </c>
      <c r="C409" s="6">
        <v>10</v>
      </c>
      <c r="D409" s="6">
        <v>10</v>
      </c>
      <c r="E409" s="6">
        <v>10</v>
      </c>
      <c r="F409" s="6">
        <v>1</v>
      </c>
      <c r="G409" s="6" t="s">
        <v>574</v>
      </c>
      <c r="H409" s="13">
        <v>45422</v>
      </c>
      <c r="K409" s="6" t="str">
        <f t="shared" si="14"/>
        <v>insert into Review values(10,10,10,1,'Amazing device. Crisp display, fast response, and very comfortable to use daily',to_date('05/10/2024','mm/dd/yyyy'));</v>
      </c>
    </row>
    <row r="410" spans="2:11" ht="15.75" customHeight="1" x14ac:dyDescent="0.3">
      <c r="B410" s="6" t="s">
        <v>567</v>
      </c>
      <c r="C410" s="6">
        <v>11</v>
      </c>
      <c r="D410" s="6">
        <v>4</v>
      </c>
      <c r="E410" s="6">
        <v>4</v>
      </c>
      <c r="F410" s="6">
        <v>5</v>
      </c>
      <c r="G410" s="6" t="s">
        <v>575</v>
      </c>
      <c r="H410" s="13">
        <v>45423</v>
      </c>
      <c r="K410" s="6" t="str">
        <f t="shared" si="14"/>
        <v>insert into Review values(11,4,4,5,'Really impressed with the performance so far. Runs fast and handles everything I throw at it',to_date('05/11/2024','mm/dd/yyyy'));</v>
      </c>
    </row>
    <row r="411" spans="2:11" ht="15.75" customHeight="1" x14ac:dyDescent="0.3">
      <c r="B411" s="6" t="s">
        <v>567</v>
      </c>
      <c r="C411" s="6">
        <v>12</v>
      </c>
      <c r="D411" s="6">
        <v>7</v>
      </c>
      <c r="E411" s="6">
        <v>7</v>
      </c>
      <c r="F411" s="6">
        <v>3</v>
      </c>
      <c r="G411" s="6" t="s">
        <v>576</v>
      </c>
      <c r="H411" s="13">
        <v>45424</v>
      </c>
      <c r="K411" s="6" t="str">
        <f t="shared" si="14"/>
        <v>insert into Review values(12,7,7,3,'Comfortable to use, but I wish the keys felt a bit more solid for long typing sessions',to_date('05/12/2024','mm/dd/yyyy'));</v>
      </c>
    </row>
    <row r="412" spans="2:11" ht="15.75" customHeight="1" x14ac:dyDescent="0.3">
      <c r="B412" s="6" t="s">
        <v>567</v>
      </c>
      <c r="C412" s="6">
        <v>13</v>
      </c>
      <c r="D412" s="6">
        <v>9</v>
      </c>
      <c r="E412" s="6">
        <v>9</v>
      </c>
      <c r="F412" s="6">
        <v>4</v>
      </c>
      <c r="G412" s="6" t="s">
        <v>577</v>
      </c>
      <c r="H412" s="13">
        <v>45425</v>
      </c>
      <c r="K412" s="6" t="str">
        <f t="shared" si="14"/>
        <v>insert into Review values(13,9,9,4,'Reliable storage and easy to set up. Great for backups and extra game installs',to_date('05/13/2024','mm/dd/yyyy'));</v>
      </c>
    </row>
    <row r="413" spans="2:11" ht="15.75" customHeight="1" x14ac:dyDescent="0.3">
      <c r="B413" s="6" t="s">
        <v>567</v>
      </c>
      <c r="C413" s="6">
        <v>14</v>
      </c>
      <c r="D413" s="6">
        <v>11</v>
      </c>
      <c r="E413" s="6">
        <v>11</v>
      </c>
      <c r="F413" s="6">
        <v>5</v>
      </c>
      <c r="G413" s="6" t="s">
        <v>578</v>
      </c>
      <c r="H413" s="13">
        <v>45426</v>
      </c>
      <c r="K413" s="6" t="str">
        <f t="shared" si="14"/>
        <v>insert into Review values(14,11,11,5,'Incredible graphics performance. Games run smoother than I expected even at max settings',to_date('05/14/2024','mm/dd/yyyy'));</v>
      </c>
    </row>
    <row r="414" spans="2:11" ht="15.75" customHeight="1" x14ac:dyDescent="0.3">
      <c r="B414" s="6" t="s">
        <v>567</v>
      </c>
      <c r="C414" s="6">
        <v>15</v>
      </c>
      <c r="D414" s="6">
        <v>12</v>
      </c>
      <c r="E414" s="6">
        <v>12</v>
      </c>
      <c r="F414" s="6">
        <v>3</v>
      </c>
      <c r="G414" s="6" t="s">
        <v>579</v>
      </c>
      <c r="H414" s="13">
        <v>45427</v>
      </c>
      <c r="K414" s="6" t="str">
        <f t="shared" si="14"/>
        <v>insert into Review values(15,12,12,3,'Display quality is sharp, but I have noticed some minor backlight bleed in darker scenes',to_date('05/15/2024','mm/dd/yyyy'));</v>
      </c>
    </row>
    <row r="415" spans="2:11" ht="15.75" customHeight="1" x14ac:dyDescent="0.3">
      <c r="B415" s="6" t="s">
        <v>567</v>
      </c>
      <c r="C415" s="6">
        <v>16</v>
      </c>
      <c r="D415" s="6">
        <v>13</v>
      </c>
      <c r="E415" s="6">
        <v>1</v>
      </c>
      <c r="F415" s="6">
        <v>4</v>
      </c>
      <c r="G415" s="6" t="s">
        <v>580</v>
      </c>
      <c r="H415" s="13">
        <v>45428</v>
      </c>
      <c r="K415" s="6" t="str">
        <f t="shared" si="14"/>
        <v>insert into Review values(16,13,1,4,'Lightweight and portable, perfect for classes and coffee shops. Battery life has been solid',to_date('05/16/2024','mm/dd/yyyy'));</v>
      </c>
    </row>
    <row r="416" spans="2:11" ht="15.75" customHeight="1" x14ac:dyDescent="0.3">
      <c r="B416" s="6" t="s">
        <v>567</v>
      </c>
      <c r="C416" s="6">
        <v>17</v>
      </c>
      <c r="D416" s="6">
        <v>14</v>
      </c>
      <c r="E416" s="6">
        <v>2</v>
      </c>
      <c r="F416" s="6">
        <v>5</v>
      </c>
      <c r="G416" s="6" t="s">
        <v>581</v>
      </c>
      <c r="H416" s="13">
        <v>45429</v>
      </c>
      <c r="K416" s="6" t="str">
        <f t="shared" si="14"/>
        <v>insert into Review values(17,14,2,5,'Handles video editing and multitasking with no lag. Definitely worth the upgrade price',to_date('05/17/2024','mm/dd/yyyy'));</v>
      </c>
    </row>
    <row r="417" spans="2:11" ht="15.75" customHeight="1" x14ac:dyDescent="0.3">
      <c r="B417" s="6" t="s">
        <v>567</v>
      </c>
      <c r="C417" s="6">
        <v>18</v>
      </c>
      <c r="D417" s="6">
        <v>18</v>
      </c>
      <c r="E417" s="6">
        <v>6</v>
      </c>
      <c r="F417" s="6">
        <v>4</v>
      </c>
      <c r="G417" s="6" t="s">
        <v>582</v>
      </c>
      <c r="H417" s="13">
        <v>45430</v>
      </c>
      <c r="K417" s="6" t="str">
        <f t="shared" si="14"/>
        <v>insert into Review values(18,18,6,4,'The ultrawide screen makes productivity and gaming much more immersive and efficient',to_date('05/18/2024','mm/dd/yyyy'));</v>
      </c>
    </row>
    <row r="418" spans="2:11" ht="15.75" customHeight="1" x14ac:dyDescent="0.3">
      <c r="B418" s="6" t="s">
        <v>567</v>
      </c>
      <c r="C418" s="6">
        <v>19</v>
      </c>
      <c r="D418" s="6">
        <v>21</v>
      </c>
      <c r="E418" s="6">
        <v>9</v>
      </c>
      <c r="F418" s="6">
        <v>5</v>
      </c>
      <c r="G418" s="6" t="s">
        <v>583</v>
      </c>
      <c r="H418" s="13">
        <v>45431</v>
      </c>
      <c r="K418" s="6" t="str">
        <f t="shared" si="14"/>
        <v>insert into Review values(19,21,9,5,'Colors look fantastic and it is super smooth for both work and streaming content',to_date('05/19/2024','mm/dd/yyyy'));</v>
      </c>
    </row>
    <row r="419" spans="2:11" ht="15.75" customHeight="1" x14ac:dyDescent="0.3">
      <c r="B419" s="6" t="s">
        <v>567</v>
      </c>
      <c r="C419" s="6">
        <v>20</v>
      </c>
      <c r="D419" s="6">
        <v>20</v>
      </c>
      <c r="E419" s="6">
        <v>8</v>
      </c>
      <c r="F419" s="6">
        <v>2</v>
      </c>
      <c r="G419" s="6" t="s">
        <v>584</v>
      </c>
      <c r="H419" s="13">
        <v>45432</v>
      </c>
      <c r="K419" s="6" t="str">
        <f t="shared" si="14"/>
        <v>insert into Review values(20,20,8,2,'Good overall, but it runs a little warmer and louder than I expected under heavy use',to_date('05/20/2024','mm/dd/yyyy'));</v>
      </c>
    </row>
  </sheetData>
  <hyperlinks>
    <hyperlink ref="F28" r:id="rId1" xr:uid="{00000000-0004-0000-0000-000000000000}"/>
    <hyperlink ref="F29" r:id="rId2" xr:uid="{00000000-0004-0000-0000-000001000000}"/>
    <hyperlink ref="F30" r:id="rId3" xr:uid="{00000000-0004-0000-0000-000002000000}"/>
    <hyperlink ref="F31" r:id="rId4" xr:uid="{00000000-0004-0000-0000-000003000000}"/>
    <hyperlink ref="F32" r:id="rId5" xr:uid="{00000000-0004-0000-0000-000004000000}"/>
    <hyperlink ref="F33" r:id="rId6" xr:uid="{00000000-0004-0000-0000-000005000000}"/>
    <hyperlink ref="F35" r:id="rId7" xr:uid="{00000000-0004-0000-0000-000006000000}"/>
    <hyperlink ref="F36" r:id="rId8" xr:uid="{00000000-0004-0000-0000-000007000000}"/>
    <hyperlink ref="F37" r:id="rId9" xr:uid="{00000000-0004-0000-0000-000008000000}"/>
  </hyperlinks>
  <pageMargins left="0.7" right="0.7" top="0.75" bottom="0.75" header="0.3" footer="0.3"/>
  <pageSetup fitToWidth="0"/>
  <extLst>
    <ext uri="smNativeData">
      <pm:sheetPrefs xmlns:pm="smNativeData" day="17648947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Zach</cp:lastModifiedBy>
  <cp:revision>0</cp:revision>
  <dcterms:created xsi:type="dcterms:W3CDTF">2025-12-02T18:59:56Z</dcterms:created>
  <dcterms:modified xsi:type="dcterms:W3CDTF">2025-12-09T04:58:27Z</dcterms:modified>
</cp:coreProperties>
</file>